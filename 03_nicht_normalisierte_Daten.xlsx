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1_datacraft\1_unterricht\1_februar_kurs\3_SQL\sql_skripts\General\Scripts\20230612-16_Projektwoche\"/>
    </mc:Choice>
  </mc:AlternateContent>
  <xr:revisionPtr revIDLastSave="0" documentId="13_ncr:1_{AA42130A-27FC-4A22-A478-DD68CD7BBABB}" xr6:coauthVersionLast="47" xr6:coauthVersionMax="47" xr10:uidLastSave="{00000000-0000-0000-0000-000000000000}"/>
  <bookViews>
    <workbookView xWindow="-108" yWindow="-108" windowWidth="23256" windowHeight="12576" xr2:uid="{52855EC6-6354-4F56-8ACB-6205A902446B}"/>
  </bookViews>
  <sheets>
    <sheet name="Ausgangstabelle" sheetId="3" r:id="rId1"/>
    <sheet name="Produkte" sheetId="9" r:id="rId2"/>
    <sheet name="Kunden" sheetId="8" r:id="rId3"/>
    <sheet name="Verkäufe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</calcChain>
</file>

<file path=xl/sharedStrings.xml><?xml version="1.0" encoding="utf-8"?>
<sst xmlns="http://schemas.openxmlformats.org/spreadsheetml/2006/main" count="682" uniqueCount="188">
  <si>
    <t>KundenID</t>
  </si>
  <si>
    <t>ProduktID</t>
  </si>
  <si>
    <t>Menge</t>
  </si>
  <si>
    <t>Bestelldatum</t>
  </si>
  <si>
    <t>Elektronik</t>
  </si>
  <si>
    <t>Kleidung</t>
  </si>
  <si>
    <t>Bücher</t>
  </si>
  <si>
    <t>Haushalt</t>
  </si>
  <si>
    <t>Schönheit und Pflege</t>
  </si>
  <si>
    <t>Sport und Freizeit</t>
  </si>
  <si>
    <t>Küche und Esszimmer</t>
  </si>
  <si>
    <t>Spielzeug und Spiele</t>
  </si>
  <si>
    <t>Möbel</t>
  </si>
  <si>
    <t>Auto und Motorrad</t>
  </si>
  <si>
    <t>Computer und Zubehör</t>
  </si>
  <si>
    <t>Musikinstrumente</t>
  </si>
  <si>
    <t>Filme und Serien</t>
  </si>
  <si>
    <t>Tierbedarf</t>
  </si>
  <si>
    <t>Gesundheit und Wellness</t>
  </si>
  <si>
    <t>Baby</t>
  </si>
  <si>
    <t>Schmuck</t>
  </si>
  <si>
    <t>Uhren</t>
  </si>
  <si>
    <t>Bürobedarf</t>
  </si>
  <si>
    <t>Kirby Poxon</t>
  </si>
  <si>
    <t>Helen-elizabeth Liddell</t>
  </si>
  <si>
    <t>Neile Patinkin</t>
  </si>
  <si>
    <t>Mannie Hendricks</t>
  </si>
  <si>
    <t>Orton Tye</t>
  </si>
  <si>
    <t>Bobbee McClaren</t>
  </si>
  <si>
    <t>Noelyn Sorel</t>
  </si>
  <si>
    <t>See Dorman</t>
  </si>
  <si>
    <t>Edy Delea</t>
  </si>
  <si>
    <t>Ruy McCarry</t>
  </si>
  <si>
    <t>Toby Mancktelow</t>
  </si>
  <si>
    <t>Dorella Eles</t>
  </si>
  <si>
    <t>Krissie Saunper</t>
  </si>
  <si>
    <t>Kim Dowsey</t>
  </si>
  <si>
    <t>Celeste Lidington</t>
  </si>
  <si>
    <t>Karlen Holby</t>
  </si>
  <si>
    <t>Fernanda Larcier</t>
  </si>
  <si>
    <t>Inge Wyleman</t>
  </si>
  <si>
    <t>Glenna Ettritch</t>
  </si>
  <si>
    <t>Sidnee Jackalin</t>
  </si>
  <si>
    <t>Heddi Radford</t>
  </si>
  <si>
    <t>Rozanna Trathen</t>
  </si>
  <si>
    <t>Lorelei Tal</t>
  </si>
  <si>
    <t>Linnet Firmage</t>
  </si>
  <si>
    <t>Edee Mattedi</t>
  </si>
  <si>
    <t>Torin Langabeer</t>
  </si>
  <si>
    <t>Barret Aaronson</t>
  </si>
  <si>
    <t>Iolanthe Dreakin</t>
  </si>
  <si>
    <t>Dario Pavis</t>
  </si>
  <si>
    <t>Alla Mawne</t>
  </si>
  <si>
    <t>Friedrich-Wohler-Strasse 2, 64579 Gernsheim</t>
  </si>
  <si>
    <t>Gerhardswinkel 1, 53572 Unkel</t>
  </si>
  <si>
    <t>Marktstrasse 30, 73207 Plochingen</t>
  </si>
  <si>
    <t>Trierer Strasse 282, 56072 Koblenz</t>
  </si>
  <si>
    <t>Berliner Strasse 269, 65205 Wiesbaden</t>
  </si>
  <si>
    <t>Potsdamer Strasse 46, 14469 Potsdam</t>
  </si>
  <si>
    <t>Mummendorfer Weg 11, 23769 Fehmarn</t>
  </si>
  <si>
    <t>Oester 1, 33428 Harsewinkel</t>
  </si>
  <si>
    <t>Burgplatz 2, 72764 Reutlingen</t>
  </si>
  <si>
    <t>Adenauerallee 209, 52066 Aachen</t>
  </si>
  <si>
    <t>Carl-Benz-Strasse 21, 60386 Frankfurt am Main</t>
  </si>
  <si>
    <t>Kaiserstrasse 73, 45699 Herten</t>
  </si>
  <si>
    <t>Heinrichstrasse 30, 07545 Gera</t>
  </si>
  <si>
    <t>Munchenstrasse 45, 38120 Braunschweig</t>
  </si>
  <si>
    <t>Am Eckey 3, 58239 Schwerte</t>
  </si>
  <si>
    <t>Sandwelle 10, 59494 Soest</t>
  </si>
  <si>
    <t>Kirchhofsweg 53 B, 25421 Pinneberg</t>
  </si>
  <si>
    <t>Nageleseestrasse 3, 79102 Freiburg im Breisgau</t>
  </si>
  <si>
    <t>Max-von-Laue-Strasse 9, 60439 Frankfurt am Main</t>
  </si>
  <si>
    <t>Rudolf-Bultmann-Strasse 2, 35039 Marburg</t>
  </si>
  <si>
    <t>Hauptstrasse 107, 91054 Erlangen</t>
  </si>
  <si>
    <t>Donaustrasse 8, 85049 Ingolstadt</t>
  </si>
  <si>
    <t>Basler Strasse 10, 79189 Bad Krozingen</t>
  </si>
  <si>
    <t>Stockumer Strasse 171, 44225 Dortmund</t>
  </si>
  <si>
    <t>Kasernstrasse 4-6, 86152 Augsburg</t>
  </si>
  <si>
    <t>Oranienstrasse 4, 65185 Wiesbaden</t>
  </si>
  <si>
    <t>Habsburgerstrasse 133, 79104 Freiburg im Breisgau</t>
  </si>
  <si>
    <t>Karlstrasse 28, 76133 Karlsruhe</t>
  </si>
  <si>
    <t>Michaelisstrasse 44, 99084 Erfurt</t>
  </si>
  <si>
    <t>Kavalierhaus am Schlosspark, 16831 Rheinsberg</t>
  </si>
  <si>
    <t>Tiffany &amp; Co. Diamant-Verlobungsring</t>
  </si>
  <si>
    <t>Pandora Charm-Armband</t>
  </si>
  <si>
    <t>Swarovski Crystal Ohrringe</t>
  </si>
  <si>
    <t>Alex and Ani Birthstone Halskette</t>
  </si>
  <si>
    <t>LEGO Star Wars Millennium Falcon Set</t>
  </si>
  <si>
    <t>Fender Stratocaster E-Gitarre</t>
  </si>
  <si>
    <t>Levi's 501 Jeans</t>
  </si>
  <si>
    <t>Adidas Ultraboost Sneakers</t>
  </si>
  <si>
    <t>Bulgari Serpenti Diamond Ring</t>
  </si>
  <si>
    <t>Ikea Malm Kommode</t>
  </si>
  <si>
    <t>Eames Lounge Chair</t>
  </si>
  <si>
    <t>Graco Pack 'n Play Portable Playard</t>
  </si>
  <si>
    <t>Fisher-Price Infant-to-Toddler Rocker</t>
  </si>
  <si>
    <t>BabyBjörn Baby Carrier</t>
  </si>
  <si>
    <t>Pampers Swaddlers Diapers</t>
  </si>
  <si>
    <t>HP LaserJet Pro Drucker</t>
  </si>
  <si>
    <t>Moleskine Classic Notizbuch</t>
  </si>
  <si>
    <t>Staedtler Triplus Fineliner Stifte</t>
  </si>
  <si>
    <t>Fellowes Aktenvernichter</t>
  </si>
  <si>
    <t>Royal Canin Adult Trockenfutter für Katzen</t>
  </si>
  <si>
    <t>Frontline Plus Floh- und Zeckenschutz für Hunde</t>
  </si>
  <si>
    <t>Trixie Kratzbaum für Katzen</t>
  </si>
  <si>
    <t>Dyson V11 Absolute Staubsauger</t>
  </si>
  <si>
    <t>Instant Pot Duo Plus Schnellkochtopf</t>
  </si>
  <si>
    <t>David Yurman Cable Classic Armreif</t>
  </si>
  <si>
    <t>Samsung Galaxy S21 Smartphone</t>
  </si>
  <si>
    <t>Apple MacBook Pro Laptop</t>
  </si>
  <si>
    <t>Der Herr der Ringe</t>
  </si>
  <si>
    <t>Fitbit Charge 4 Fitness-Tracker</t>
  </si>
  <si>
    <t>Philips Sonicare elektrische Zahnbürste</t>
  </si>
  <si>
    <t>Wilson Pro Staff Tennisschläger</t>
  </si>
  <si>
    <t>Coleman Campingzelt</t>
  </si>
  <si>
    <t>Garmin Forerunner 245 GPS-Laufuhr</t>
  </si>
  <si>
    <t>Game of Thrones: Die komplette Serie (DVD-Boxset)</t>
  </si>
  <si>
    <t>Marvel's Avengers: Endgame (Blu-ray)</t>
  </si>
  <si>
    <t>Netflix Premium-Abonnement</t>
  </si>
  <si>
    <t>Rolex Submariner Herrenuhr</t>
  </si>
  <si>
    <t>TAG Heuer Carrera Chronograph</t>
  </si>
  <si>
    <t>Clarisonic Mia 2 Gesichtsreinigungsbürste</t>
  </si>
  <si>
    <t>Zara Trenchcoat</t>
  </si>
  <si>
    <t>Michelin Pilot Sport 4 Reifen</t>
  </si>
  <si>
    <t>WMF Besteckset Miami</t>
  </si>
  <si>
    <t>BestellID</t>
  </si>
  <si>
    <t>30.09.2022</t>
  </si>
  <si>
    <t>06.02.2023</t>
  </si>
  <si>
    <t>16.12.2022</t>
  </si>
  <si>
    <t>05.02.2023</t>
  </si>
  <si>
    <t>31.07.2022</t>
  </si>
  <si>
    <t>14.04.2023</t>
  </si>
  <si>
    <t>09.09.2022</t>
  </si>
  <si>
    <t>24.12.2022</t>
  </si>
  <si>
    <t>08.02.2023</t>
  </si>
  <si>
    <t>17.04.2023</t>
  </si>
  <si>
    <t>07.08.2022</t>
  </si>
  <si>
    <t>23.06.2022</t>
  </si>
  <si>
    <t>02.11.2022</t>
  </si>
  <si>
    <t>23.08.2022</t>
  </si>
  <si>
    <t>03.08.2022</t>
  </si>
  <si>
    <t>05.10.2022</t>
  </si>
  <si>
    <t>24.02.2023</t>
  </si>
  <si>
    <t>28.07.2022</t>
  </si>
  <si>
    <t>25.09.2022</t>
  </si>
  <si>
    <t>30.08.2022</t>
  </si>
  <si>
    <t>09.04.2023</t>
  </si>
  <si>
    <t>04.02.2023</t>
  </si>
  <si>
    <t>23.12.2022</t>
  </si>
  <si>
    <t>09.07.2022</t>
  </si>
  <si>
    <t>24.07.2022</t>
  </si>
  <si>
    <t>22.10.2022</t>
  </si>
  <si>
    <t>17.05.2023</t>
  </si>
  <si>
    <t>29.07.2022</t>
  </si>
  <si>
    <t>25.03.2023</t>
  </si>
  <si>
    <t>07.09.2022</t>
  </si>
  <si>
    <t>28.02.2023</t>
  </si>
  <si>
    <t>23.07.2022</t>
  </si>
  <si>
    <t>08.03.2023</t>
  </si>
  <si>
    <t>21.11.2022</t>
  </si>
  <si>
    <t>21.05.2023</t>
  </si>
  <si>
    <t>04.11.2022</t>
  </si>
  <si>
    <t>30.04.2023</t>
  </si>
  <si>
    <t>02.03.2023</t>
  </si>
  <si>
    <t>21.10.2022</t>
  </si>
  <si>
    <t>22.04.2023</t>
  </si>
  <si>
    <t>29.09.2022</t>
  </si>
  <si>
    <t>13.12.2022</t>
  </si>
  <si>
    <t>11.10.2022</t>
  </si>
  <si>
    <t>28.10.2022</t>
  </si>
  <si>
    <t>28.09.2022</t>
  </si>
  <si>
    <t>31.01.2023</t>
  </si>
  <si>
    <t>07.03.2023</t>
  </si>
  <si>
    <t>08.06.2022</t>
  </si>
  <si>
    <t>17.01.2023</t>
  </si>
  <si>
    <t>13.05.2023</t>
  </si>
  <si>
    <t>27.10.2022</t>
  </si>
  <si>
    <t>10.05.2023</t>
  </si>
  <si>
    <t>17.12.2022</t>
  </si>
  <si>
    <t>26.01.2023</t>
  </si>
  <si>
    <t>03.01.2023</t>
  </si>
  <si>
    <t>ProduktnameName</t>
  </si>
  <si>
    <t>ProduktPreis</t>
  </si>
  <si>
    <t>KundeName</t>
  </si>
  <si>
    <t>KundeAdresse</t>
  </si>
  <si>
    <t>KundeKreditkarte</t>
  </si>
  <si>
    <t>Kategorie</t>
  </si>
  <si>
    <t>ProduktName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</si>
</sst>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\.mm\.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164" fontId="0" fillId="0" borderId="0" xfId="0" applyNumberFormat="1" applyAlignment="1">
      <alignment horizontal="left"/>
    </xf>
    <xf numFmtId="1" fontId="0" fillId="0" borderId="0" xfId="0" applyNumberFormat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</cellXfs>
  <cellStyles count="1">
    <cellStyle name="Standard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" formatCode="0"/>
    </dxf>
    <dxf>
      <numFmt numFmtId="164" formatCode="dd\.mm\.yyyy;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07D42-7005-4BF0-BEF2-AF6D24A66ADC}" name="Total_table" displayName="Total_table" ref="A1:I101" totalsRowShown="0">
  <autoFilter ref="A1:I101" xr:uid="{DC107D42-7005-4BF0-BEF2-AF6D24A66ADC}"/>
  <tableColumns count="9">
    <tableColumn id="1" xr3:uid="{7D72ED9B-6D40-4CAC-815E-CD52AAF976B9}" name="BestellID"/>
    <tableColumn id="2" xr3:uid="{F7097D5D-D0B3-47BE-B8A4-42F8F014D68A}" name="Menge"/>
    <tableColumn id="3" xr3:uid="{83AAC4E5-05E4-4989-91D0-16104F5829A7}" name="Bestelldatum" dataDxfId="21"/>
    <tableColumn id="4" xr3:uid="{AA713B30-138A-4333-9D0A-29882525363A}" name="KundeName"/>
    <tableColumn id="5" xr3:uid="{E1163802-1BAE-45CF-8BB6-2885550354C8}" name="KundeAdresse"/>
    <tableColumn id="6" xr3:uid="{6EAE7789-8A76-4CA6-9E8E-92E60D7181D8}" name="KundeKreditkarte" dataDxfId="20"/>
    <tableColumn id="7" xr3:uid="{5C480CC0-80C3-4F3C-9A02-5EB3F96D3E4B}" name="ProduktnameName"/>
    <tableColumn id="8" xr3:uid="{E1AFC6B7-4B22-4B00-8737-67672B731AB1}" name="ProduktPreis">
      <calculatedColumnFormula>_xlfn.XLOOKUP(Total_table[[#This Row],[ProduktnameName]],Produkte[ProduktName],Produkte[ProduktPreis],"wert fehlt",0)</calculatedColumnFormula>
    </tableColumn>
    <tableColumn id="9" xr3:uid="{CCA1EE91-735C-4C3E-9A2D-F5539E32A4CB}" name="Kategori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B2D3D8-9D53-47DA-AA27-43C6D741BC57}" name="Produkte" displayName="Produkte" ref="A1:D43" totalsRowShown="0" headerRowDxfId="11" dataDxfId="10" tableBorderDxfId="9">
  <autoFilter ref="A1:D43" xr:uid="{69B2D3D8-9D53-47DA-AA27-43C6D741BC57}"/>
  <tableColumns count="4">
    <tableColumn id="1" xr3:uid="{52405CD7-4C13-4A3A-995F-C3CA3B9D1192}" name="ProduktID"/>
    <tableColumn id="2" xr3:uid="{91FD5EFE-593A-43FA-8CF2-FD83CBFB345A}" name="ProduktName" dataDxfId="8"/>
    <tableColumn id="3" xr3:uid="{B712AADA-2029-4A5C-B202-7433B1607AE1}" name="ProduktPreis" dataDxfId="7"/>
    <tableColumn id="4" xr3:uid="{3CE04BA8-AB01-4C49-A1BE-FA859B2CC343}" name="Kategori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33032-8099-470A-A300-69671F43BC30}" name="Kunden" displayName="Kunden" ref="A1:D31" totalsRowShown="0" headerRowDxfId="5" dataDxfId="4">
  <autoFilter ref="A1:D31" xr:uid="{0B733032-8099-470A-A300-69671F43BC30}"/>
  <tableColumns count="4">
    <tableColumn id="1" xr3:uid="{A164B943-F51D-4127-91F6-07AF28D3DA2E}" name="KundenID" dataDxfId="3"/>
    <tableColumn id="2" xr3:uid="{0D6E69BC-E985-4D6D-9299-4D1BA0D362AA}" name="KundeName" dataDxfId="2"/>
    <tableColumn id="3" xr3:uid="{B8D2C4C3-225A-4D8B-B3D3-A42BBD9AF47E}" name="KundeAdresse" dataDxfId="1"/>
    <tableColumn id="4" xr3:uid="{6F62920D-37F2-4797-BE94-0069678903C9}" name="KundeKreditkart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06D8DC-7495-4F70-BA1C-BDF1037BF054}" name="Verkäufe" displayName="Verkäufe" ref="A1:E101" totalsRowShown="0" headerRowDxfId="19" dataDxfId="18" tableBorderDxfId="17">
  <autoFilter ref="A1:E101" xr:uid="{2606D8DC-7495-4F70-BA1C-BDF1037BF054}"/>
  <tableColumns count="5">
    <tableColumn id="1" xr3:uid="{430091FD-44CF-4C62-BE31-677B4457C0A1}" name="BestellID" dataDxfId="16"/>
    <tableColumn id="2" xr3:uid="{E123AAA6-2476-43FF-812E-3031C1F44D08}" name="Menge" dataDxfId="15"/>
    <tableColumn id="3" xr3:uid="{8FE99471-E061-453F-A20E-9BEAA60F3EE5}" name="Bestelldatum" dataDxfId="14"/>
    <tableColumn id="4" xr3:uid="{B7FAFDC5-A732-45A7-8FD4-D3DCD5B4EE2F}" name="KundenID" dataDxfId="13"/>
    <tableColumn id="8" xr3:uid="{B517A5C5-45AC-41E0-9333-09EFAF938BA0}" name="ProduktID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008C-67C4-44C5-8458-49AE783AD4FA}">
  <dimension ref="A1:I101"/>
  <sheetViews>
    <sheetView tabSelected="1" topLeftCell="D78" workbookViewId="0">
      <selection activeCell="H2" sqref="H2:H101"/>
    </sheetView>
  </sheetViews>
  <sheetFormatPr baseColWidth="10" defaultRowHeight="14.4" x14ac:dyDescent="0.3"/>
  <cols>
    <col min="1" max="1" width="10.109375" customWidth="1"/>
    <col min="2" max="2" width="8.77734375" customWidth="1"/>
    <col min="3" max="3" width="13.88671875" customWidth="1"/>
    <col min="4" max="4" width="22" bestFit="1" customWidth="1"/>
    <col min="5" max="5" width="46.109375" bestFit="1" customWidth="1"/>
    <col min="6" max="6" width="17.6640625" customWidth="1"/>
    <col min="7" max="7" width="48.109375" bestFit="1" customWidth="1"/>
    <col min="8" max="8" width="13.6640625" customWidth="1"/>
    <col min="9" max="9" width="24" bestFit="1" customWidth="1"/>
  </cols>
  <sheetData>
    <row r="1" spans="1:9" x14ac:dyDescent="0.3">
      <c r="A1" t="s">
        <v>125</v>
      </c>
      <c r="B1" t="s">
        <v>2</v>
      </c>
      <c r="C1" t="s">
        <v>3</v>
      </c>
      <c r="D1" t="s">
        <v>183</v>
      </c>
      <c r="E1" t="s">
        <v>184</v>
      </c>
      <c r="F1" t="s">
        <v>185</v>
      </c>
      <c r="G1" t="s">
        <v>181</v>
      </c>
      <c r="H1" t="s">
        <v>182</v>
      </c>
      <c r="I1" t="s">
        <v>186</v>
      </c>
    </row>
    <row r="2" spans="1:9" x14ac:dyDescent="0.3">
      <c r="A2">
        <v>1</v>
      </c>
      <c r="B2">
        <v>6</v>
      </c>
      <c r="C2" t="s">
        <v>126</v>
      </c>
      <c r="D2" t="s">
        <v>43</v>
      </c>
      <c r="E2" t="s">
        <v>73</v>
      </c>
      <c r="F2" s="3">
        <v>5443412551823880</v>
      </c>
      <c r="G2" t="s">
        <v>101</v>
      </c>
      <c r="H2">
        <f>_xlfn.XLOOKUP(Total_table[[#This Row],[ProduktnameName]],Produkte[ProduktName],Produkte[ProduktPreis],"wert fehlt",0)</f>
        <v>35</v>
      </c>
      <c r="I2" t="s">
        <v>22</v>
      </c>
    </row>
    <row r="3" spans="1:9" x14ac:dyDescent="0.3">
      <c r="A3">
        <v>2</v>
      </c>
      <c r="B3">
        <v>7</v>
      </c>
      <c r="C3" t="s">
        <v>127</v>
      </c>
      <c r="D3" t="s">
        <v>36</v>
      </c>
      <c r="E3" t="s">
        <v>66</v>
      </c>
      <c r="F3" s="3">
        <v>5386779659180120</v>
      </c>
      <c r="G3" t="s">
        <v>110</v>
      </c>
      <c r="H3">
        <f>_xlfn.XLOOKUP(Total_table[[#This Row],[ProduktnameName]],Produkte[ProduktName],Produkte[ProduktPreis],"wert fehlt",0)</f>
        <v>100</v>
      </c>
      <c r="I3" t="s">
        <v>6</v>
      </c>
    </row>
    <row r="4" spans="1:9" x14ac:dyDescent="0.3">
      <c r="A4">
        <v>3</v>
      </c>
      <c r="B4">
        <v>4</v>
      </c>
      <c r="C4" t="s">
        <v>128</v>
      </c>
      <c r="D4" t="s">
        <v>31</v>
      </c>
      <c r="E4" t="s">
        <v>61</v>
      </c>
      <c r="F4" s="3">
        <v>5273849209977540</v>
      </c>
      <c r="G4" t="s">
        <v>123</v>
      </c>
      <c r="H4">
        <f>_xlfn.XLOOKUP(Total_table[[#This Row],[ProduktnameName]],Produkte[ProduktName],Produkte[ProduktPreis],"wert fehlt",0)</f>
        <v>150</v>
      </c>
      <c r="I4" t="s">
        <v>13</v>
      </c>
    </row>
    <row r="5" spans="1:9" x14ac:dyDescent="0.3">
      <c r="A5">
        <v>4</v>
      </c>
      <c r="B5">
        <v>8</v>
      </c>
      <c r="C5" t="s">
        <v>130</v>
      </c>
      <c r="D5" t="s">
        <v>35</v>
      </c>
      <c r="E5" t="s">
        <v>65</v>
      </c>
      <c r="F5" s="3">
        <v>5589388672263750</v>
      </c>
      <c r="G5" t="s">
        <v>99</v>
      </c>
      <c r="H5">
        <f>_xlfn.XLOOKUP(Total_table[[#This Row],[ProduktnameName]],Produkte[ProduktName],Produkte[ProduktPreis],"wert fehlt",0)</f>
        <v>13</v>
      </c>
      <c r="I5" t="s">
        <v>22</v>
      </c>
    </row>
    <row r="6" spans="1:9" x14ac:dyDescent="0.3">
      <c r="A6">
        <v>5</v>
      </c>
      <c r="B6">
        <v>7</v>
      </c>
      <c r="C6" t="s">
        <v>129</v>
      </c>
      <c r="D6" t="s">
        <v>31</v>
      </c>
      <c r="E6" t="s">
        <v>61</v>
      </c>
      <c r="F6" s="3">
        <v>5273849209977540</v>
      </c>
      <c r="G6" t="s">
        <v>116</v>
      </c>
      <c r="H6">
        <f>_xlfn.XLOOKUP(Total_table[[#This Row],[ProduktnameName]],Produkte[ProduktName],Produkte[ProduktPreis],"wert fehlt",0)</f>
        <v>150</v>
      </c>
      <c r="I6" t="s">
        <v>16</v>
      </c>
    </row>
    <row r="7" spans="1:9" x14ac:dyDescent="0.3">
      <c r="A7">
        <v>6</v>
      </c>
      <c r="B7">
        <v>3</v>
      </c>
      <c r="C7" t="s">
        <v>131</v>
      </c>
      <c r="D7" t="s">
        <v>38</v>
      </c>
      <c r="E7" t="s">
        <v>68</v>
      </c>
      <c r="F7" s="3">
        <v>5585728810236310</v>
      </c>
      <c r="G7" t="s">
        <v>109</v>
      </c>
      <c r="H7">
        <f>_xlfn.XLOOKUP(Total_table[[#This Row],[ProduktnameName]],Produkte[ProduktName],Produkte[ProduktPreis],"wert fehlt",0)</f>
        <v>1100</v>
      </c>
      <c r="I7" t="s">
        <v>14</v>
      </c>
    </row>
    <row r="8" spans="1:9" x14ac:dyDescent="0.3">
      <c r="A8">
        <v>7</v>
      </c>
      <c r="B8">
        <v>8</v>
      </c>
      <c r="C8" t="s">
        <v>132</v>
      </c>
      <c r="D8" t="s">
        <v>49</v>
      </c>
      <c r="E8" t="s">
        <v>79</v>
      </c>
      <c r="F8" s="3">
        <v>5410033003668250</v>
      </c>
      <c r="G8" t="s">
        <v>88</v>
      </c>
      <c r="H8">
        <f>_xlfn.XLOOKUP(Total_table[[#This Row],[ProduktnameName]],Produkte[ProduktName],Produkte[ProduktPreis],"wert fehlt",0)</f>
        <v>750</v>
      </c>
      <c r="I8" t="s">
        <v>15</v>
      </c>
    </row>
    <row r="9" spans="1:9" x14ac:dyDescent="0.3">
      <c r="A9">
        <v>8</v>
      </c>
      <c r="B9">
        <v>6</v>
      </c>
      <c r="C9" t="s">
        <v>133</v>
      </c>
      <c r="D9" t="s">
        <v>28</v>
      </c>
      <c r="E9" t="s">
        <v>58</v>
      </c>
      <c r="F9" s="3">
        <v>5270254082243370</v>
      </c>
      <c r="G9" t="s">
        <v>97</v>
      </c>
      <c r="H9">
        <f>_xlfn.XLOOKUP(Total_table[[#This Row],[ProduktnameName]],Produkte[ProduktName],Produkte[ProduktPreis],"wert fehlt",0)</f>
        <v>8</v>
      </c>
      <c r="I9" t="s">
        <v>19</v>
      </c>
    </row>
    <row r="10" spans="1:9" x14ac:dyDescent="0.3">
      <c r="A10">
        <v>9</v>
      </c>
      <c r="B10">
        <v>9</v>
      </c>
      <c r="C10" t="s">
        <v>134</v>
      </c>
      <c r="D10" t="s">
        <v>31</v>
      </c>
      <c r="E10" t="s">
        <v>61</v>
      </c>
      <c r="F10" s="3">
        <v>5273849209977540</v>
      </c>
      <c r="G10" t="s">
        <v>121</v>
      </c>
      <c r="H10">
        <f>_xlfn.XLOOKUP(Total_table[[#This Row],[ProduktnameName]],Produkte[ProduktName],Produkte[ProduktPreis],"wert fehlt",0)</f>
        <v>155</v>
      </c>
      <c r="I10" t="s">
        <v>8</v>
      </c>
    </row>
    <row r="11" spans="1:9" x14ac:dyDescent="0.3">
      <c r="A11">
        <v>10</v>
      </c>
      <c r="B11">
        <v>10</v>
      </c>
      <c r="C11" t="s">
        <v>135</v>
      </c>
      <c r="D11" t="s">
        <v>38</v>
      </c>
      <c r="E11" t="s">
        <v>68</v>
      </c>
      <c r="F11" s="3">
        <v>5585728810236310</v>
      </c>
      <c r="G11" t="s">
        <v>109</v>
      </c>
      <c r="H11">
        <f>_xlfn.XLOOKUP(Total_table[[#This Row],[ProduktnameName]],Produkte[ProduktName],Produkte[ProduktPreis],"wert fehlt",0)</f>
        <v>1100</v>
      </c>
      <c r="I11" t="s">
        <v>14</v>
      </c>
    </row>
    <row r="12" spans="1:9" x14ac:dyDescent="0.3">
      <c r="A12">
        <v>11</v>
      </c>
      <c r="B12">
        <v>6</v>
      </c>
      <c r="C12" t="s">
        <v>136</v>
      </c>
      <c r="D12" t="s">
        <v>32</v>
      </c>
      <c r="E12" t="s">
        <v>62</v>
      </c>
      <c r="F12" s="3">
        <v>5295286000737500</v>
      </c>
      <c r="G12" t="s">
        <v>93</v>
      </c>
      <c r="H12">
        <f>_xlfn.XLOOKUP(Total_table[[#This Row],[ProduktnameName]],Produkte[ProduktName],Produkte[ProduktPreis],"wert fehlt",0)</f>
        <v>6200</v>
      </c>
      <c r="I12" t="s">
        <v>12</v>
      </c>
    </row>
    <row r="13" spans="1:9" x14ac:dyDescent="0.3">
      <c r="A13">
        <v>12</v>
      </c>
      <c r="B13">
        <v>7</v>
      </c>
      <c r="C13" t="s">
        <v>137</v>
      </c>
      <c r="D13" t="s">
        <v>37</v>
      </c>
      <c r="E13" t="s">
        <v>67</v>
      </c>
      <c r="F13" s="3">
        <v>5514830264595360</v>
      </c>
      <c r="G13" t="s">
        <v>97</v>
      </c>
      <c r="H13">
        <f>_xlfn.XLOOKUP(Total_table[[#This Row],[ProduktnameName]],Produkte[ProduktName],Produkte[ProduktPreis],"wert fehlt",0)</f>
        <v>8</v>
      </c>
      <c r="I13" t="s">
        <v>19</v>
      </c>
    </row>
    <row r="14" spans="1:9" x14ac:dyDescent="0.3">
      <c r="A14">
        <v>13</v>
      </c>
      <c r="B14">
        <v>5</v>
      </c>
      <c r="C14" t="s">
        <v>138</v>
      </c>
      <c r="D14" t="s">
        <v>36</v>
      </c>
      <c r="E14" t="s">
        <v>66</v>
      </c>
      <c r="F14" s="3">
        <v>5386779659180120</v>
      </c>
      <c r="G14" t="s">
        <v>124</v>
      </c>
      <c r="H14">
        <f>_xlfn.XLOOKUP(Total_table[[#This Row],[ProduktnameName]],Produkte[ProduktName],Produkte[ProduktPreis],"wert fehlt",0)</f>
        <v>100</v>
      </c>
      <c r="I14" t="s">
        <v>10</v>
      </c>
    </row>
    <row r="15" spans="1:9" x14ac:dyDescent="0.3">
      <c r="A15">
        <v>14</v>
      </c>
      <c r="B15">
        <v>8</v>
      </c>
      <c r="C15" t="s">
        <v>139</v>
      </c>
      <c r="D15" t="s">
        <v>23</v>
      </c>
      <c r="E15" t="s">
        <v>53</v>
      </c>
      <c r="F15" s="3">
        <v>5235734980328510</v>
      </c>
      <c r="G15" t="s">
        <v>118</v>
      </c>
      <c r="H15">
        <f>_xlfn.XLOOKUP(Total_table[[#This Row],[ProduktnameName]],Produkte[ProduktName],Produkte[ProduktPreis],"wert fehlt",0)</f>
        <v>16</v>
      </c>
      <c r="I15" t="s">
        <v>16</v>
      </c>
    </row>
    <row r="16" spans="1:9" x14ac:dyDescent="0.3">
      <c r="A16">
        <v>15</v>
      </c>
      <c r="B16">
        <v>3</v>
      </c>
      <c r="C16" t="s">
        <v>140</v>
      </c>
      <c r="D16" t="s">
        <v>27</v>
      </c>
      <c r="E16" t="s">
        <v>57</v>
      </c>
      <c r="F16" s="3">
        <v>5472347033020320</v>
      </c>
      <c r="G16" t="s">
        <v>91</v>
      </c>
      <c r="H16">
        <f>_xlfn.XLOOKUP(Total_table[[#This Row],[ProduktnameName]],Produkte[ProduktName],Produkte[ProduktPreis],"wert fehlt",0)</f>
        <v>10500</v>
      </c>
      <c r="I16" t="s">
        <v>20</v>
      </c>
    </row>
    <row r="17" spans="1:9" x14ac:dyDescent="0.3">
      <c r="A17">
        <v>16</v>
      </c>
      <c r="B17">
        <v>8</v>
      </c>
      <c r="C17" t="s">
        <v>141</v>
      </c>
      <c r="D17" t="s">
        <v>42</v>
      </c>
      <c r="E17" t="s">
        <v>72</v>
      </c>
      <c r="F17" s="3">
        <v>5508107536078630</v>
      </c>
      <c r="G17" t="s">
        <v>90</v>
      </c>
      <c r="H17">
        <f>_xlfn.XLOOKUP(Total_table[[#This Row],[ProduktnameName]],Produkte[ProduktName],Produkte[ProduktPreis],"wert fehlt",0)</f>
        <v>90</v>
      </c>
      <c r="I17" t="s">
        <v>5</v>
      </c>
    </row>
    <row r="18" spans="1:9" x14ac:dyDescent="0.3">
      <c r="A18">
        <v>17</v>
      </c>
      <c r="B18">
        <v>3</v>
      </c>
      <c r="C18" t="s">
        <v>142</v>
      </c>
      <c r="D18" t="s">
        <v>25</v>
      </c>
      <c r="E18" t="s">
        <v>55</v>
      </c>
      <c r="F18" s="3">
        <v>5518441858555480</v>
      </c>
      <c r="G18" t="s">
        <v>120</v>
      </c>
      <c r="H18">
        <f>_xlfn.XLOOKUP(Total_table[[#This Row],[ProduktnameName]],Produkte[ProduktName],Produkte[ProduktPreis],"wert fehlt",0)</f>
        <v>230</v>
      </c>
      <c r="I18" t="s">
        <v>21</v>
      </c>
    </row>
    <row r="19" spans="1:9" x14ac:dyDescent="0.3">
      <c r="A19">
        <v>18</v>
      </c>
      <c r="B19">
        <v>10</v>
      </c>
      <c r="C19" t="s">
        <v>143</v>
      </c>
      <c r="D19" t="s">
        <v>23</v>
      </c>
      <c r="E19" t="s">
        <v>53</v>
      </c>
      <c r="F19" s="3">
        <v>5235734980328510</v>
      </c>
      <c r="G19" t="s">
        <v>96</v>
      </c>
      <c r="H19">
        <f>_xlfn.XLOOKUP(Total_table[[#This Row],[ProduktnameName]],Produkte[ProduktName],Produkte[ProduktPreis],"wert fehlt",0)</f>
        <v>220</v>
      </c>
      <c r="I19" t="s">
        <v>19</v>
      </c>
    </row>
    <row r="20" spans="1:9" x14ac:dyDescent="0.3">
      <c r="A20">
        <v>19</v>
      </c>
      <c r="B20">
        <v>6</v>
      </c>
      <c r="C20" t="s">
        <v>144</v>
      </c>
      <c r="D20" t="s">
        <v>23</v>
      </c>
      <c r="E20" t="s">
        <v>53</v>
      </c>
      <c r="F20" s="3">
        <v>5235734980328510</v>
      </c>
      <c r="G20" t="s">
        <v>102</v>
      </c>
      <c r="H20">
        <f>_xlfn.XLOOKUP(Total_table[[#This Row],[ProduktnameName]],Produkte[ProduktName],Produkte[ProduktPreis],"wert fehlt",0)</f>
        <v>20</v>
      </c>
      <c r="I20" t="s">
        <v>17</v>
      </c>
    </row>
    <row r="21" spans="1:9" x14ac:dyDescent="0.3">
      <c r="A21">
        <v>20</v>
      </c>
      <c r="B21">
        <v>7</v>
      </c>
      <c r="C21" t="s">
        <v>145</v>
      </c>
      <c r="D21" t="s">
        <v>35</v>
      </c>
      <c r="E21" t="s">
        <v>65</v>
      </c>
      <c r="F21" s="3">
        <v>5589388672263750</v>
      </c>
      <c r="G21" t="s">
        <v>115</v>
      </c>
      <c r="H21">
        <f>_xlfn.XLOOKUP(Total_table[[#This Row],[ProduktnameName]],Produkte[ProduktName],Produkte[ProduktPreis],"wert fehlt",0)</f>
        <v>160</v>
      </c>
      <c r="I21" t="s">
        <v>9</v>
      </c>
    </row>
    <row r="22" spans="1:9" x14ac:dyDescent="0.3">
      <c r="A22">
        <v>21</v>
      </c>
      <c r="B22">
        <v>10</v>
      </c>
      <c r="C22" t="s">
        <v>146</v>
      </c>
      <c r="D22" t="s">
        <v>47</v>
      </c>
      <c r="E22" t="s">
        <v>77</v>
      </c>
      <c r="F22" s="3">
        <v>5395802826980750</v>
      </c>
      <c r="G22" t="s">
        <v>92</v>
      </c>
      <c r="H22">
        <f>_xlfn.XLOOKUP(Total_table[[#This Row],[ProduktnameName]],Produkte[ProduktName],Produkte[ProduktPreis],"wert fehlt",0)</f>
        <v>50</v>
      </c>
      <c r="I22" t="s">
        <v>12</v>
      </c>
    </row>
    <row r="23" spans="1:9" x14ac:dyDescent="0.3">
      <c r="A23">
        <v>22</v>
      </c>
      <c r="B23">
        <v>4</v>
      </c>
      <c r="C23" t="s">
        <v>147</v>
      </c>
      <c r="D23" t="s">
        <v>46</v>
      </c>
      <c r="E23" t="s">
        <v>76</v>
      </c>
      <c r="F23" s="3">
        <v>5406252550077780</v>
      </c>
      <c r="G23" t="s">
        <v>107</v>
      </c>
      <c r="H23">
        <f>_xlfn.XLOOKUP(Total_table[[#This Row],[ProduktnameName]],Produkte[ProduktName],Produkte[ProduktPreis],"wert fehlt",0)</f>
        <v>300</v>
      </c>
      <c r="I23" t="s">
        <v>20</v>
      </c>
    </row>
    <row r="24" spans="1:9" x14ac:dyDescent="0.3">
      <c r="A24">
        <v>23</v>
      </c>
      <c r="B24">
        <v>4</v>
      </c>
      <c r="C24" t="s">
        <v>148</v>
      </c>
      <c r="D24" t="s">
        <v>47</v>
      </c>
      <c r="E24" t="s">
        <v>77</v>
      </c>
      <c r="F24" s="3">
        <v>5395802826980750</v>
      </c>
      <c r="G24" t="s">
        <v>117</v>
      </c>
      <c r="H24">
        <f>_xlfn.XLOOKUP(Total_table[[#This Row],[ProduktnameName]],Produkte[ProduktName],Produkte[ProduktPreis],"wert fehlt",0)</f>
        <v>20</v>
      </c>
      <c r="I24" t="s">
        <v>16</v>
      </c>
    </row>
    <row r="25" spans="1:9" x14ac:dyDescent="0.3">
      <c r="A25">
        <v>24</v>
      </c>
      <c r="B25">
        <v>2</v>
      </c>
      <c r="C25" t="s">
        <v>149</v>
      </c>
      <c r="D25" t="s">
        <v>27</v>
      </c>
      <c r="E25" t="s">
        <v>57</v>
      </c>
      <c r="F25" s="3">
        <v>5472347033020320</v>
      </c>
      <c r="G25" t="s">
        <v>114</v>
      </c>
      <c r="H25">
        <f>_xlfn.XLOOKUP(Total_table[[#This Row],[ProduktnameName]],Produkte[ProduktName],Produkte[ProduktPreis],"wert fehlt",0)</f>
        <v>140</v>
      </c>
      <c r="I25" t="s">
        <v>9</v>
      </c>
    </row>
    <row r="26" spans="1:9" x14ac:dyDescent="0.3">
      <c r="A26">
        <v>25</v>
      </c>
      <c r="B26">
        <v>7</v>
      </c>
      <c r="C26" t="s">
        <v>150</v>
      </c>
      <c r="D26" t="s">
        <v>29</v>
      </c>
      <c r="E26" t="s">
        <v>59</v>
      </c>
      <c r="F26" s="3">
        <v>5157168399114020</v>
      </c>
      <c r="G26" t="s">
        <v>111</v>
      </c>
      <c r="H26">
        <f>_xlfn.XLOOKUP(Total_table[[#This Row],[ProduktnameName]],Produkte[ProduktName],Produkte[ProduktPreis],"wert fehlt",0)</f>
        <v>265</v>
      </c>
      <c r="I26" t="s">
        <v>18</v>
      </c>
    </row>
    <row r="27" spans="1:9" x14ac:dyDescent="0.3">
      <c r="A27">
        <v>26</v>
      </c>
      <c r="B27">
        <v>9</v>
      </c>
      <c r="C27" t="s">
        <v>151</v>
      </c>
      <c r="D27" t="s">
        <v>34</v>
      </c>
      <c r="E27" t="s">
        <v>64</v>
      </c>
      <c r="F27" s="3">
        <v>5152056017234780</v>
      </c>
      <c r="G27" t="s">
        <v>95</v>
      </c>
      <c r="H27">
        <f>_xlfn.XLOOKUP(Total_table[[#This Row],[ProduktnameName]],Produkte[ProduktName],Produkte[ProduktPreis],"wert fehlt",0)</f>
        <v>56</v>
      </c>
      <c r="I27" t="s">
        <v>19</v>
      </c>
    </row>
    <row r="28" spans="1:9" x14ac:dyDescent="0.3">
      <c r="A28">
        <v>27</v>
      </c>
      <c r="B28">
        <v>9</v>
      </c>
      <c r="C28" t="s">
        <v>152</v>
      </c>
      <c r="D28" t="s">
        <v>31</v>
      </c>
      <c r="E28" t="s">
        <v>61</v>
      </c>
      <c r="F28" s="3">
        <v>5273849209977540</v>
      </c>
      <c r="G28" t="s">
        <v>98</v>
      </c>
      <c r="H28">
        <f>_xlfn.XLOOKUP(Total_table[[#This Row],[ProduktnameName]],Produkte[ProduktName],Produkte[ProduktPreis],"wert fehlt",0)</f>
        <v>160</v>
      </c>
      <c r="I28" t="s">
        <v>22</v>
      </c>
    </row>
    <row r="29" spans="1:9" x14ac:dyDescent="0.3">
      <c r="A29">
        <v>28</v>
      </c>
      <c r="B29">
        <v>9</v>
      </c>
      <c r="C29" t="s">
        <v>153</v>
      </c>
      <c r="D29" t="s">
        <v>37</v>
      </c>
      <c r="E29" t="s">
        <v>67</v>
      </c>
      <c r="F29" s="3">
        <v>5514830264595360</v>
      </c>
      <c r="G29" t="s">
        <v>118</v>
      </c>
      <c r="H29">
        <f>_xlfn.XLOOKUP(Total_table[[#This Row],[ProduktnameName]],Produkte[ProduktName],Produkte[ProduktPreis],"wert fehlt",0)</f>
        <v>16</v>
      </c>
      <c r="I29" t="s">
        <v>16</v>
      </c>
    </row>
    <row r="30" spans="1:9" x14ac:dyDescent="0.3">
      <c r="A30">
        <v>29</v>
      </c>
      <c r="B30">
        <v>9</v>
      </c>
      <c r="C30" t="s">
        <v>154</v>
      </c>
      <c r="D30" t="s">
        <v>25</v>
      </c>
      <c r="E30" t="s">
        <v>55</v>
      </c>
      <c r="F30" s="3">
        <v>5518441858555480</v>
      </c>
      <c r="G30" t="s">
        <v>97</v>
      </c>
      <c r="H30">
        <f>_xlfn.XLOOKUP(Total_table[[#This Row],[ProduktnameName]],Produkte[ProduktName],Produkte[ProduktPreis],"wert fehlt",0)</f>
        <v>8</v>
      </c>
      <c r="I30" t="s">
        <v>19</v>
      </c>
    </row>
    <row r="31" spans="1:9" x14ac:dyDescent="0.3">
      <c r="A31">
        <v>30</v>
      </c>
      <c r="B31">
        <v>2</v>
      </c>
      <c r="C31" t="s">
        <v>155</v>
      </c>
      <c r="D31" t="s">
        <v>36</v>
      </c>
      <c r="E31" t="s">
        <v>66</v>
      </c>
      <c r="F31" s="3">
        <v>5386779659180120</v>
      </c>
      <c r="G31" t="s">
        <v>118</v>
      </c>
      <c r="H31">
        <f>_xlfn.XLOOKUP(Total_table[[#This Row],[ProduktnameName]],Produkte[ProduktName],Produkte[ProduktPreis],"wert fehlt",0)</f>
        <v>16</v>
      </c>
      <c r="I31" t="s">
        <v>16</v>
      </c>
    </row>
    <row r="32" spans="1:9" x14ac:dyDescent="0.3">
      <c r="A32">
        <v>31</v>
      </c>
      <c r="B32">
        <v>1</v>
      </c>
      <c r="C32" t="s">
        <v>151</v>
      </c>
      <c r="D32" t="s">
        <v>30</v>
      </c>
      <c r="E32" t="s">
        <v>60</v>
      </c>
      <c r="F32" s="3">
        <v>5132364984299640</v>
      </c>
      <c r="G32" t="s">
        <v>83</v>
      </c>
      <c r="H32">
        <f>_xlfn.XLOOKUP(Total_table[[#This Row],[ProduktnameName]],Produkte[ProduktName],Produkte[ProduktPreis],"wert fehlt",0)</f>
        <v>700</v>
      </c>
      <c r="I32" t="s">
        <v>20</v>
      </c>
    </row>
    <row r="33" spans="1:9" x14ac:dyDescent="0.3">
      <c r="A33">
        <v>32</v>
      </c>
      <c r="B33">
        <v>3</v>
      </c>
      <c r="C33" t="s">
        <v>156</v>
      </c>
      <c r="D33" t="s">
        <v>30</v>
      </c>
      <c r="E33" t="s">
        <v>60</v>
      </c>
      <c r="F33" s="3">
        <v>5132364984299640</v>
      </c>
      <c r="G33" t="s">
        <v>96</v>
      </c>
      <c r="H33">
        <f>_xlfn.XLOOKUP(Total_table[[#This Row],[ProduktnameName]],Produkte[ProduktName],Produkte[ProduktPreis],"wert fehlt",0)</f>
        <v>220</v>
      </c>
      <c r="I33" t="s">
        <v>19</v>
      </c>
    </row>
    <row r="34" spans="1:9" x14ac:dyDescent="0.3">
      <c r="A34">
        <v>33</v>
      </c>
      <c r="B34">
        <v>5</v>
      </c>
      <c r="C34" t="s">
        <v>157</v>
      </c>
      <c r="D34" t="s">
        <v>41</v>
      </c>
      <c r="E34" t="s">
        <v>71</v>
      </c>
      <c r="F34" s="3">
        <v>5188219748299840</v>
      </c>
      <c r="G34" t="s">
        <v>91</v>
      </c>
      <c r="H34">
        <f>_xlfn.XLOOKUP(Total_table[[#This Row],[ProduktnameName]],Produkte[ProduktName],Produkte[ProduktPreis],"wert fehlt",0)</f>
        <v>10500</v>
      </c>
      <c r="I34" t="s">
        <v>20</v>
      </c>
    </row>
    <row r="35" spans="1:9" x14ac:dyDescent="0.3">
      <c r="A35">
        <v>34</v>
      </c>
      <c r="B35">
        <v>8</v>
      </c>
      <c r="C35" t="s">
        <v>158</v>
      </c>
      <c r="D35" t="s">
        <v>51</v>
      </c>
      <c r="E35" t="s">
        <v>81</v>
      </c>
      <c r="F35" s="3">
        <v>5282418605703000</v>
      </c>
      <c r="G35" t="s">
        <v>122</v>
      </c>
      <c r="H35">
        <f>_xlfn.XLOOKUP(Total_table[[#This Row],[ProduktnameName]],Produkte[ProduktName],Produkte[ProduktPreis],"wert fehlt",0)</f>
        <v>130</v>
      </c>
      <c r="I35" t="s">
        <v>5</v>
      </c>
    </row>
    <row r="36" spans="1:9" x14ac:dyDescent="0.3">
      <c r="A36">
        <v>35</v>
      </c>
      <c r="B36">
        <v>4</v>
      </c>
      <c r="C36" t="s">
        <v>159</v>
      </c>
      <c r="D36" t="s">
        <v>35</v>
      </c>
      <c r="E36" t="s">
        <v>65</v>
      </c>
      <c r="F36" s="3">
        <v>5589388672263750</v>
      </c>
      <c r="G36" t="s">
        <v>121</v>
      </c>
      <c r="H36">
        <f>_xlfn.XLOOKUP(Total_table[[#This Row],[ProduktnameName]],Produkte[ProduktName],Produkte[ProduktPreis],"wert fehlt",0)</f>
        <v>155</v>
      </c>
      <c r="I36" t="s">
        <v>8</v>
      </c>
    </row>
    <row r="37" spans="1:9" x14ac:dyDescent="0.3">
      <c r="A37">
        <v>36</v>
      </c>
      <c r="B37">
        <v>6</v>
      </c>
      <c r="C37" t="s">
        <v>160</v>
      </c>
      <c r="D37" t="s">
        <v>42</v>
      </c>
      <c r="E37" t="s">
        <v>72</v>
      </c>
      <c r="F37" s="3">
        <v>5508107536078630</v>
      </c>
      <c r="G37" t="s">
        <v>109</v>
      </c>
      <c r="H37">
        <f>_xlfn.XLOOKUP(Total_table[[#This Row],[ProduktnameName]],Produkte[ProduktName],Produkte[ProduktPreis],"wert fehlt",0)</f>
        <v>1100</v>
      </c>
      <c r="I37" t="s">
        <v>14</v>
      </c>
    </row>
    <row r="38" spans="1:9" x14ac:dyDescent="0.3">
      <c r="A38">
        <v>37</v>
      </c>
      <c r="B38">
        <v>9</v>
      </c>
      <c r="C38" t="s">
        <v>161</v>
      </c>
      <c r="D38" t="s">
        <v>42</v>
      </c>
      <c r="E38" t="s">
        <v>72</v>
      </c>
      <c r="F38" s="3">
        <v>5508107536078630</v>
      </c>
      <c r="G38" t="s">
        <v>86</v>
      </c>
      <c r="H38">
        <f>_xlfn.XLOOKUP(Total_table[[#This Row],[ProduktnameName]],Produkte[ProduktName],Produkte[ProduktPreis],"wert fehlt",0)</f>
        <v>60</v>
      </c>
      <c r="I38" t="s">
        <v>20</v>
      </c>
    </row>
    <row r="39" spans="1:9" x14ac:dyDescent="0.3">
      <c r="A39">
        <v>38</v>
      </c>
      <c r="B39">
        <v>1</v>
      </c>
      <c r="C39" t="s">
        <v>162</v>
      </c>
      <c r="D39" t="s">
        <v>42</v>
      </c>
      <c r="E39" t="s">
        <v>72</v>
      </c>
      <c r="F39" s="3">
        <v>5508107536078630</v>
      </c>
      <c r="G39" t="s">
        <v>114</v>
      </c>
      <c r="H39">
        <f>_xlfn.XLOOKUP(Total_table[[#This Row],[ProduktnameName]],Produkte[ProduktName],Produkte[ProduktPreis],"wert fehlt",0)</f>
        <v>140</v>
      </c>
      <c r="I39" t="s">
        <v>9</v>
      </c>
    </row>
    <row r="40" spans="1:9" x14ac:dyDescent="0.3">
      <c r="A40">
        <v>39</v>
      </c>
      <c r="B40">
        <v>9</v>
      </c>
      <c r="C40" t="s">
        <v>163</v>
      </c>
      <c r="D40" t="s">
        <v>30</v>
      </c>
      <c r="E40" t="s">
        <v>60</v>
      </c>
      <c r="F40" s="3">
        <v>5132364984299640</v>
      </c>
      <c r="G40" t="s">
        <v>105</v>
      </c>
      <c r="H40">
        <f>_xlfn.XLOOKUP(Total_table[[#This Row],[ProduktnameName]],Produkte[ProduktName],Produkte[ProduktPreis],"wert fehlt",0)</f>
        <v>530</v>
      </c>
      <c r="I40" t="s">
        <v>7</v>
      </c>
    </row>
    <row r="41" spans="1:9" x14ac:dyDescent="0.3">
      <c r="A41">
        <v>40</v>
      </c>
      <c r="B41">
        <v>1</v>
      </c>
      <c r="C41" t="s">
        <v>164</v>
      </c>
      <c r="D41" t="s">
        <v>27</v>
      </c>
      <c r="E41" t="s">
        <v>57</v>
      </c>
      <c r="F41" s="3">
        <v>5472347033020320</v>
      </c>
      <c r="G41" t="s">
        <v>94</v>
      </c>
      <c r="H41">
        <f>_xlfn.XLOOKUP(Total_table[[#This Row],[ProduktnameName]],Produkte[ProduktName],Produkte[ProduktPreis],"wert fehlt",0)</f>
        <v>77</v>
      </c>
      <c r="I41" t="s">
        <v>19</v>
      </c>
    </row>
    <row r="42" spans="1:9" x14ac:dyDescent="0.3">
      <c r="A42">
        <v>41</v>
      </c>
      <c r="B42">
        <v>9</v>
      </c>
      <c r="C42" t="s">
        <v>165</v>
      </c>
      <c r="D42" t="s">
        <v>28</v>
      </c>
      <c r="E42" t="s">
        <v>58</v>
      </c>
      <c r="F42" s="3">
        <v>5270254082243370</v>
      </c>
      <c r="G42" t="s">
        <v>106</v>
      </c>
      <c r="H42">
        <f>_xlfn.XLOOKUP(Total_table[[#This Row],[ProduktnameName]],Produkte[ProduktName],Produkte[ProduktPreis],"wert fehlt",0)</f>
        <v>120</v>
      </c>
      <c r="I42" t="s">
        <v>7</v>
      </c>
    </row>
    <row r="43" spans="1:9" x14ac:dyDescent="0.3">
      <c r="A43">
        <v>42</v>
      </c>
      <c r="B43">
        <v>9</v>
      </c>
      <c r="C43" t="s">
        <v>166</v>
      </c>
      <c r="D43" t="s">
        <v>36</v>
      </c>
      <c r="E43" t="s">
        <v>66</v>
      </c>
      <c r="F43" s="3">
        <v>5386779659180120</v>
      </c>
      <c r="G43" t="s">
        <v>84</v>
      </c>
      <c r="H43">
        <f>_xlfn.XLOOKUP(Total_table[[#This Row],[ProduktnameName]],Produkte[ProduktName],Produkte[ProduktPreis],"wert fehlt",0)</f>
        <v>18</v>
      </c>
      <c r="I43" t="s">
        <v>20</v>
      </c>
    </row>
    <row r="44" spans="1:9" x14ac:dyDescent="0.3">
      <c r="A44">
        <v>43</v>
      </c>
      <c r="B44">
        <v>9</v>
      </c>
      <c r="C44" t="s">
        <v>167</v>
      </c>
      <c r="D44" t="s">
        <v>26</v>
      </c>
      <c r="E44" t="s">
        <v>56</v>
      </c>
      <c r="F44" s="3">
        <v>5473450221585970</v>
      </c>
      <c r="G44" t="s">
        <v>88</v>
      </c>
      <c r="H44">
        <f>_xlfn.XLOOKUP(Total_table[[#This Row],[ProduktnameName]],Produkte[ProduktName],Produkte[ProduktPreis],"wert fehlt",0)</f>
        <v>750</v>
      </c>
      <c r="I44" t="s">
        <v>15</v>
      </c>
    </row>
    <row r="45" spans="1:9" x14ac:dyDescent="0.3">
      <c r="A45">
        <v>44</v>
      </c>
      <c r="B45">
        <v>10</v>
      </c>
      <c r="C45" t="s">
        <v>168</v>
      </c>
      <c r="D45" t="s">
        <v>31</v>
      </c>
      <c r="E45" t="s">
        <v>61</v>
      </c>
      <c r="F45" s="3">
        <v>5273849209977540</v>
      </c>
      <c r="G45" t="s">
        <v>118</v>
      </c>
      <c r="H45">
        <f>_xlfn.XLOOKUP(Total_table[[#This Row],[ProduktnameName]],Produkte[ProduktName],Produkte[ProduktPreis],"wert fehlt",0)</f>
        <v>16</v>
      </c>
      <c r="I45" t="s">
        <v>16</v>
      </c>
    </row>
    <row r="46" spans="1:9" x14ac:dyDescent="0.3">
      <c r="A46">
        <v>45</v>
      </c>
      <c r="B46">
        <v>5</v>
      </c>
      <c r="C46" t="s">
        <v>169</v>
      </c>
      <c r="D46" t="s">
        <v>48</v>
      </c>
      <c r="E46" t="s">
        <v>78</v>
      </c>
      <c r="F46" s="3">
        <v>5489445526392380</v>
      </c>
      <c r="G46" t="s">
        <v>112</v>
      </c>
      <c r="H46">
        <f>_xlfn.XLOOKUP(Total_table[[#This Row],[ProduktnameName]],Produkte[ProduktName],Produkte[ProduktPreis],"wert fehlt",0)</f>
        <v>85</v>
      </c>
      <c r="I46" t="s">
        <v>18</v>
      </c>
    </row>
    <row r="47" spans="1:9" x14ac:dyDescent="0.3">
      <c r="A47">
        <v>46</v>
      </c>
      <c r="B47">
        <v>8</v>
      </c>
      <c r="C47" t="s">
        <v>170</v>
      </c>
      <c r="D47" t="s">
        <v>51</v>
      </c>
      <c r="E47" t="s">
        <v>81</v>
      </c>
      <c r="F47" s="3">
        <v>5282418605703000</v>
      </c>
      <c r="G47" t="s">
        <v>122</v>
      </c>
      <c r="H47">
        <f>_xlfn.XLOOKUP(Total_table[[#This Row],[ProduktnameName]],Produkte[ProduktName],Produkte[ProduktPreis],"wert fehlt",0)</f>
        <v>130</v>
      </c>
      <c r="I47" t="s">
        <v>5</v>
      </c>
    </row>
    <row r="48" spans="1:9" x14ac:dyDescent="0.3">
      <c r="A48">
        <v>47</v>
      </c>
      <c r="B48">
        <v>8</v>
      </c>
      <c r="C48" t="s">
        <v>171</v>
      </c>
      <c r="D48" t="s">
        <v>45</v>
      </c>
      <c r="E48" t="s">
        <v>75</v>
      </c>
      <c r="F48" s="3">
        <v>5126703055317810</v>
      </c>
      <c r="G48" t="s">
        <v>106</v>
      </c>
      <c r="H48">
        <f>_xlfn.XLOOKUP(Total_table[[#This Row],[ProduktnameName]],Produkte[ProduktName],Produkte[ProduktPreis],"wert fehlt",0)</f>
        <v>120</v>
      </c>
      <c r="I48" t="s">
        <v>7</v>
      </c>
    </row>
    <row r="49" spans="1:9" x14ac:dyDescent="0.3">
      <c r="A49">
        <v>48</v>
      </c>
      <c r="B49">
        <v>9</v>
      </c>
      <c r="C49" t="s">
        <v>172</v>
      </c>
      <c r="D49" t="s">
        <v>34</v>
      </c>
      <c r="E49" t="s">
        <v>64</v>
      </c>
      <c r="F49" s="3">
        <v>5152056017234780</v>
      </c>
      <c r="G49" t="s">
        <v>84</v>
      </c>
      <c r="H49">
        <f>_xlfn.XLOOKUP(Total_table[[#This Row],[ProduktnameName]],Produkte[ProduktName],Produkte[ProduktPreis],"wert fehlt",0)</f>
        <v>18</v>
      </c>
      <c r="I49" t="s">
        <v>20</v>
      </c>
    </row>
    <row r="50" spans="1:9" x14ac:dyDescent="0.3">
      <c r="A50">
        <v>49</v>
      </c>
      <c r="B50">
        <v>8</v>
      </c>
      <c r="C50" t="s">
        <v>149</v>
      </c>
      <c r="D50" t="s">
        <v>42</v>
      </c>
      <c r="E50" t="s">
        <v>72</v>
      </c>
      <c r="F50" s="3">
        <v>5508107536078630</v>
      </c>
      <c r="G50" t="s">
        <v>95</v>
      </c>
      <c r="H50">
        <f>_xlfn.XLOOKUP(Total_table[[#This Row],[ProduktnameName]],Produkte[ProduktName],Produkte[ProduktPreis],"wert fehlt",0)</f>
        <v>56</v>
      </c>
      <c r="I50" t="s">
        <v>19</v>
      </c>
    </row>
    <row r="51" spans="1:9" x14ac:dyDescent="0.3">
      <c r="A51">
        <v>50</v>
      </c>
      <c r="B51">
        <v>6</v>
      </c>
      <c r="C51" t="s">
        <v>173</v>
      </c>
      <c r="D51" t="s">
        <v>50</v>
      </c>
      <c r="E51" t="s">
        <v>80</v>
      </c>
      <c r="F51" s="3">
        <v>5115750948900930</v>
      </c>
      <c r="G51" t="s">
        <v>105</v>
      </c>
      <c r="H51">
        <f>_xlfn.XLOOKUP(Total_table[[#This Row],[ProduktnameName]],Produkte[ProduktName],Produkte[ProduktPreis],"wert fehlt",0)</f>
        <v>530</v>
      </c>
      <c r="I51" t="s">
        <v>7</v>
      </c>
    </row>
    <row r="52" spans="1:9" x14ac:dyDescent="0.3">
      <c r="A52">
        <v>51</v>
      </c>
      <c r="B52">
        <v>2</v>
      </c>
      <c r="C52" t="s">
        <v>174</v>
      </c>
      <c r="D52" t="s">
        <v>31</v>
      </c>
      <c r="E52" t="s">
        <v>61</v>
      </c>
      <c r="F52" s="3">
        <v>5273849209977540</v>
      </c>
      <c r="G52" t="s">
        <v>105</v>
      </c>
      <c r="H52">
        <f>_xlfn.XLOOKUP(Total_table[[#This Row],[ProduktnameName]],Produkte[ProduktName],Produkte[ProduktPreis],"wert fehlt",0)</f>
        <v>530</v>
      </c>
      <c r="I52" t="s">
        <v>7</v>
      </c>
    </row>
    <row r="53" spans="1:9" x14ac:dyDescent="0.3">
      <c r="A53">
        <v>52</v>
      </c>
      <c r="B53">
        <v>5</v>
      </c>
      <c r="C53" t="s">
        <v>175</v>
      </c>
      <c r="D53" t="s">
        <v>39</v>
      </c>
      <c r="E53" t="s">
        <v>69</v>
      </c>
      <c r="F53" s="3">
        <v>5236195016854390</v>
      </c>
      <c r="G53" t="s">
        <v>120</v>
      </c>
      <c r="H53">
        <f>_xlfn.XLOOKUP(Total_table[[#This Row],[ProduktnameName]],Produkte[ProduktName],Produkte[ProduktPreis],"wert fehlt",0)</f>
        <v>230</v>
      </c>
      <c r="I53" t="s">
        <v>21</v>
      </c>
    </row>
    <row r="54" spans="1:9" x14ac:dyDescent="0.3">
      <c r="A54">
        <v>53</v>
      </c>
      <c r="B54">
        <v>4</v>
      </c>
      <c r="C54" t="s">
        <v>176</v>
      </c>
      <c r="D54" t="s">
        <v>39</v>
      </c>
      <c r="E54" t="s">
        <v>69</v>
      </c>
      <c r="F54" s="3">
        <v>5236195016854390</v>
      </c>
      <c r="G54" t="s">
        <v>104</v>
      </c>
      <c r="H54">
        <f>_xlfn.XLOOKUP(Total_table[[#This Row],[ProduktnameName]],Produkte[ProduktName],Produkte[ProduktPreis],"wert fehlt",0)</f>
        <v>200</v>
      </c>
      <c r="I54" t="s">
        <v>17</v>
      </c>
    </row>
    <row r="55" spans="1:9" x14ac:dyDescent="0.3">
      <c r="A55">
        <v>54</v>
      </c>
      <c r="B55">
        <v>1</v>
      </c>
      <c r="C55" t="s">
        <v>177</v>
      </c>
      <c r="D55" t="s">
        <v>28</v>
      </c>
      <c r="E55" t="s">
        <v>58</v>
      </c>
      <c r="F55" s="3">
        <v>5270254082243370</v>
      </c>
      <c r="G55" t="s">
        <v>122</v>
      </c>
      <c r="H55">
        <f>_xlfn.XLOOKUP(Total_table[[#This Row],[ProduktnameName]],Produkte[ProduktName],Produkte[ProduktPreis],"wert fehlt",0)</f>
        <v>130</v>
      </c>
      <c r="I55" t="s">
        <v>5</v>
      </c>
    </row>
    <row r="56" spans="1:9" x14ac:dyDescent="0.3">
      <c r="A56">
        <v>55</v>
      </c>
      <c r="B56">
        <v>8</v>
      </c>
      <c r="C56" t="s">
        <v>155</v>
      </c>
      <c r="D56" t="s">
        <v>26</v>
      </c>
      <c r="E56" t="s">
        <v>56</v>
      </c>
      <c r="F56" s="3">
        <v>5473450221585970</v>
      </c>
      <c r="G56" t="s">
        <v>123</v>
      </c>
      <c r="H56">
        <f>_xlfn.XLOOKUP(Total_table[[#This Row],[ProduktnameName]],Produkte[ProduktName],Produkte[ProduktPreis],"wert fehlt",0)</f>
        <v>150</v>
      </c>
      <c r="I56" t="s">
        <v>13</v>
      </c>
    </row>
    <row r="57" spans="1:9" x14ac:dyDescent="0.3">
      <c r="A57">
        <v>56</v>
      </c>
      <c r="B57">
        <v>4</v>
      </c>
      <c r="C57" t="s">
        <v>178</v>
      </c>
      <c r="D57" t="s">
        <v>27</v>
      </c>
      <c r="E57" t="s">
        <v>57</v>
      </c>
      <c r="F57" s="3">
        <v>5472347033020320</v>
      </c>
      <c r="G57" t="s">
        <v>107</v>
      </c>
      <c r="H57">
        <f>_xlfn.XLOOKUP(Total_table[[#This Row],[ProduktnameName]],Produkte[ProduktName],Produkte[ProduktPreis],"wert fehlt",0)</f>
        <v>300</v>
      </c>
      <c r="I57" t="s">
        <v>20</v>
      </c>
    </row>
    <row r="58" spans="1:9" x14ac:dyDescent="0.3">
      <c r="A58">
        <v>57</v>
      </c>
      <c r="B58">
        <v>2</v>
      </c>
      <c r="C58" t="s">
        <v>179</v>
      </c>
      <c r="D58" t="s">
        <v>52</v>
      </c>
      <c r="E58" t="s">
        <v>82</v>
      </c>
      <c r="F58" s="3">
        <v>5314574774112590</v>
      </c>
      <c r="G58" t="s">
        <v>103</v>
      </c>
      <c r="H58">
        <f>_xlfn.XLOOKUP(Total_table[[#This Row],[ProduktnameName]],Produkte[ProduktName],Produkte[ProduktPreis],"wert fehlt",0)</f>
        <v>25</v>
      </c>
      <c r="I58" t="s">
        <v>17</v>
      </c>
    </row>
    <row r="59" spans="1:9" x14ac:dyDescent="0.3">
      <c r="A59">
        <v>58</v>
      </c>
      <c r="B59">
        <v>10</v>
      </c>
      <c r="C59" s="1" t="s">
        <v>180</v>
      </c>
      <c r="D59" t="s">
        <v>25</v>
      </c>
      <c r="E59" t="s">
        <v>55</v>
      </c>
      <c r="F59" s="3">
        <v>5518441858555480</v>
      </c>
      <c r="G59" t="s">
        <v>86</v>
      </c>
      <c r="H59">
        <f>_xlfn.XLOOKUP(Total_table[[#This Row],[ProduktnameName]],Produkte[ProduktName],Produkte[ProduktPreis],"wert fehlt",0)</f>
        <v>60</v>
      </c>
      <c r="I59" t="s">
        <v>20</v>
      </c>
    </row>
    <row r="60" spans="1:9" x14ac:dyDescent="0.3">
      <c r="A60">
        <v>59</v>
      </c>
      <c r="B60">
        <v>1</v>
      </c>
      <c r="C60" s="2">
        <v>44868</v>
      </c>
      <c r="D60" t="s">
        <v>46</v>
      </c>
      <c r="E60" t="s">
        <v>76</v>
      </c>
      <c r="F60" s="3">
        <v>5406252550077780</v>
      </c>
      <c r="G60" t="s">
        <v>116</v>
      </c>
      <c r="H60">
        <f>_xlfn.XLOOKUP(Total_table[[#This Row],[ProduktnameName]],Produkte[ProduktName],Produkte[ProduktPreis],"wert fehlt",0)</f>
        <v>150</v>
      </c>
      <c r="I60" t="s">
        <v>16</v>
      </c>
    </row>
    <row r="61" spans="1:9" x14ac:dyDescent="0.3">
      <c r="A61">
        <v>60</v>
      </c>
      <c r="B61">
        <v>9</v>
      </c>
      <c r="C61" s="2">
        <v>44552</v>
      </c>
      <c r="D61" t="s">
        <v>28</v>
      </c>
      <c r="E61" t="s">
        <v>58</v>
      </c>
      <c r="F61" s="3">
        <v>5270254082243370</v>
      </c>
      <c r="G61" t="s">
        <v>97</v>
      </c>
      <c r="H61">
        <f>_xlfn.XLOOKUP(Total_table[[#This Row],[ProduktnameName]],Produkte[ProduktName],Produkte[ProduktPreis],"wert fehlt",0)</f>
        <v>8</v>
      </c>
      <c r="I61" t="s">
        <v>19</v>
      </c>
    </row>
    <row r="62" spans="1:9" x14ac:dyDescent="0.3">
      <c r="A62">
        <v>61</v>
      </c>
      <c r="B62">
        <v>6</v>
      </c>
      <c r="C62" s="2">
        <v>44859</v>
      </c>
      <c r="D62" t="s">
        <v>24</v>
      </c>
      <c r="E62" t="s">
        <v>54</v>
      </c>
      <c r="F62" s="3">
        <v>5452530720864080</v>
      </c>
      <c r="G62" t="s">
        <v>121</v>
      </c>
      <c r="H62">
        <f>_xlfn.XLOOKUP(Total_table[[#This Row],[ProduktnameName]],Produkte[ProduktName],Produkte[ProduktPreis],"wert fehlt",0)</f>
        <v>155</v>
      </c>
      <c r="I62" t="s">
        <v>8</v>
      </c>
    </row>
    <row r="63" spans="1:9" x14ac:dyDescent="0.3">
      <c r="A63">
        <v>62</v>
      </c>
      <c r="B63">
        <v>8</v>
      </c>
      <c r="C63" s="2">
        <v>44480</v>
      </c>
      <c r="D63" t="s">
        <v>34</v>
      </c>
      <c r="E63" t="s">
        <v>64</v>
      </c>
      <c r="F63" s="3">
        <v>5152056017234780</v>
      </c>
      <c r="G63" t="s">
        <v>89</v>
      </c>
      <c r="H63">
        <f>_xlfn.XLOOKUP(Total_table[[#This Row],[ProduktnameName]],Produkte[ProduktName],Produkte[ProduktPreis],"wert fehlt",0)</f>
        <v>190</v>
      </c>
      <c r="I63" t="s">
        <v>5</v>
      </c>
    </row>
    <row r="64" spans="1:9" x14ac:dyDescent="0.3">
      <c r="A64">
        <v>63</v>
      </c>
      <c r="B64">
        <v>9</v>
      </c>
      <c r="C64" s="2">
        <v>44789</v>
      </c>
      <c r="D64" t="s">
        <v>47</v>
      </c>
      <c r="E64" t="s">
        <v>77</v>
      </c>
      <c r="F64" s="3">
        <v>5395802826980750</v>
      </c>
      <c r="G64" t="s">
        <v>94</v>
      </c>
      <c r="H64">
        <f>_xlfn.XLOOKUP(Total_table[[#This Row],[ProduktnameName]],Produkte[ProduktName],Produkte[ProduktPreis],"wert fehlt",0)</f>
        <v>77</v>
      </c>
      <c r="I64" t="s">
        <v>19</v>
      </c>
    </row>
    <row r="65" spans="1:9" x14ac:dyDescent="0.3">
      <c r="A65">
        <v>64</v>
      </c>
      <c r="B65">
        <v>1</v>
      </c>
      <c r="C65" s="2">
        <v>45081</v>
      </c>
      <c r="D65" t="s">
        <v>52</v>
      </c>
      <c r="E65" t="s">
        <v>82</v>
      </c>
      <c r="F65" s="3">
        <v>5314574774112590</v>
      </c>
      <c r="G65" t="s">
        <v>87</v>
      </c>
      <c r="H65">
        <f>_xlfn.XLOOKUP(Total_table[[#This Row],[ProduktnameName]],Produkte[ProduktName],Produkte[ProduktPreis],"wert fehlt",0)</f>
        <v>200</v>
      </c>
      <c r="I65" t="s">
        <v>11</v>
      </c>
    </row>
    <row r="66" spans="1:9" x14ac:dyDescent="0.3">
      <c r="A66">
        <v>65</v>
      </c>
      <c r="B66">
        <v>5</v>
      </c>
      <c r="C66" s="2">
        <v>44237</v>
      </c>
      <c r="D66" t="s">
        <v>31</v>
      </c>
      <c r="E66" t="s">
        <v>61</v>
      </c>
      <c r="F66" s="3">
        <v>5273849209977540</v>
      </c>
      <c r="G66" t="s">
        <v>99</v>
      </c>
      <c r="H66">
        <f>_xlfn.XLOOKUP(Total_table[[#This Row],[ProduktnameName]],Produkte[ProduktName],Produkte[ProduktPreis],"wert fehlt",0)</f>
        <v>13</v>
      </c>
      <c r="I66" t="s">
        <v>22</v>
      </c>
    </row>
    <row r="67" spans="1:9" x14ac:dyDescent="0.3">
      <c r="A67">
        <v>66</v>
      </c>
      <c r="B67">
        <v>4</v>
      </c>
      <c r="C67" s="2">
        <v>44310</v>
      </c>
      <c r="D67" t="s">
        <v>28</v>
      </c>
      <c r="E67" t="s">
        <v>58</v>
      </c>
      <c r="F67" s="3">
        <v>5270254082243370</v>
      </c>
      <c r="G67" t="s">
        <v>97</v>
      </c>
      <c r="H67">
        <f>_xlfn.XLOOKUP(Total_table[[#This Row],[ProduktnameName]],Produkte[ProduktName],Produkte[ProduktPreis],"wert fehlt",0)</f>
        <v>8</v>
      </c>
      <c r="I67" t="s">
        <v>19</v>
      </c>
    </row>
    <row r="68" spans="1:9" x14ac:dyDescent="0.3">
      <c r="A68">
        <v>67</v>
      </c>
      <c r="B68">
        <v>9</v>
      </c>
      <c r="C68" s="2">
        <v>44272</v>
      </c>
      <c r="D68" t="s">
        <v>38</v>
      </c>
      <c r="E68" t="s">
        <v>68</v>
      </c>
      <c r="F68" s="3">
        <v>5585728810236310</v>
      </c>
      <c r="G68" t="s">
        <v>114</v>
      </c>
      <c r="H68">
        <f>_xlfn.XLOOKUP(Total_table[[#This Row],[ProduktnameName]],Produkte[ProduktName],Produkte[ProduktPreis],"wert fehlt",0)</f>
        <v>140</v>
      </c>
      <c r="I68" t="s">
        <v>9</v>
      </c>
    </row>
    <row r="69" spans="1:9" x14ac:dyDescent="0.3">
      <c r="A69">
        <v>68</v>
      </c>
      <c r="B69">
        <v>2</v>
      </c>
      <c r="C69" s="2">
        <v>44508</v>
      </c>
      <c r="D69" t="s">
        <v>35</v>
      </c>
      <c r="E69" t="s">
        <v>65</v>
      </c>
      <c r="F69" s="3">
        <v>5589388672263750</v>
      </c>
      <c r="G69" t="s">
        <v>103</v>
      </c>
      <c r="H69">
        <f>_xlfn.XLOOKUP(Total_table[[#This Row],[ProduktnameName]],Produkte[ProduktName],Produkte[ProduktPreis],"wert fehlt",0)</f>
        <v>25</v>
      </c>
      <c r="I69" t="s">
        <v>17</v>
      </c>
    </row>
    <row r="70" spans="1:9" x14ac:dyDescent="0.3">
      <c r="A70">
        <v>69</v>
      </c>
      <c r="B70">
        <v>1</v>
      </c>
      <c r="C70" s="2">
        <v>44266</v>
      </c>
      <c r="D70" t="s">
        <v>47</v>
      </c>
      <c r="E70" t="s">
        <v>77</v>
      </c>
      <c r="F70" s="3">
        <v>5395802826980750</v>
      </c>
      <c r="G70" t="s">
        <v>110</v>
      </c>
      <c r="H70">
        <f>_xlfn.XLOOKUP(Total_table[[#This Row],[ProduktnameName]],Produkte[ProduktName],Produkte[ProduktPreis],"wert fehlt",0)</f>
        <v>100</v>
      </c>
      <c r="I70" t="s">
        <v>6</v>
      </c>
    </row>
    <row r="71" spans="1:9" x14ac:dyDescent="0.3">
      <c r="A71">
        <v>70</v>
      </c>
      <c r="B71">
        <v>3</v>
      </c>
      <c r="C71" s="2">
        <v>44218</v>
      </c>
      <c r="D71" t="s">
        <v>49</v>
      </c>
      <c r="E71" t="s">
        <v>79</v>
      </c>
      <c r="F71" s="3">
        <v>5410033003668250</v>
      </c>
      <c r="G71" t="s">
        <v>102</v>
      </c>
      <c r="H71">
        <f>_xlfn.XLOOKUP(Total_table[[#This Row],[ProduktnameName]],Produkte[ProduktName],Produkte[ProduktPreis],"wert fehlt",0)</f>
        <v>20</v>
      </c>
      <c r="I71" t="s">
        <v>17</v>
      </c>
    </row>
    <row r="72" spans="1:9" x14ac:dyDescent="0.3">
      <c r="A72">
        <v>71</v>
      </c>
      <c r="B72">
        <v>6</v>
      </c>
      <c r="C72" s="2">
        <v>44692</v>
      </c>
      <c r="D72" t="s">
        <v>51</v>
      </c>
      <c r="E72" t="s">
        <v>81</v>
      </c>
      <c r="F72" s="3">
        <v>5282418605703000</v>
      </c>
      <c r="G72" t="s">
        <v>110</v>
      </c>
      <c r="H72">
        <f>_xlfn.XLOOKUP(Total_table[[#This Row],[ProduktnameName]],Produkte[ProduktName],Produkte[ProduktPreis],"wert fehlt",0)</f>
        <v>100</v>
      </c>
      <c r="I72" t="s">
        <v>6</v>
      </c>
    </row>
    <row r="73" spans="1:9" x14ac:dyDescent="0.3">
      <c r="A73">
        <v>72</v>
      </c>
      <c r="B73">
        <v>9</v>
      </c>
      <c r="C73" s="2">
        <v>44630</v>
      </c>
      <c r="D73" t="s">
        <v>39</v>
      </c>
      <c r="E73" t="s">
        <v>69</v>
      </c>
      <c r="F73" s="3">
        <v>5236195016854390</v>
      </c>
      <c r="G73" t="s">
        <v>117</v>
      </c>
      <c r="H73">
        <f>_xlfn.XLOOKUP(Total_table[[#This Row],[ProduktnameName]],Produkte[ProduktName],Produkte[ProduktPreis],"wert fehlt",0)</f>
        <v>20</v>
      </c>
      <c r="I73" t="s">
        <v>16</v>
      </c>
    </row>
    <row r="74" spans="1:9" x14ac:dyDescent="0.3">
      <c r="A74">
        <v>73</v>
      </c>
      <c r="B74">
        <v>1</v>
      </c>
      <c r="C74" s="2">
        <v>44838</v>
      </c>
      <c r="D74" t="s">
        <v>40</v>
      </c>
      <c r="E74" t="s">
        <v>70</v>
      </c>
      <c r="F74" s="3">
        <v>5372767251150500</v>
      </c>
      <c r="G74" t="s">
        <v>87</v>
      </c>
      <c r="H74">
        <f>_xlfn.XLOOKUP(Total_table[[#This Row],[ProduktnameName]],Produkte[ProduktName],Produkte[ProduktPreis],"wert fehlt",0)</f>
        <v>200</v>
      </c>
      <c r="I74" t="s">
        <v>11</v>
      </c>
    </row>
    <row r="75" spans="1:9" x14ac:dyDescent="0.3">
      <c r="A75">
        <v>74</v>
      </c>
      <c r="B75">
        <v>7</v>
      </c>
      <c r="C75" s="2">
        <v>44421</v>
      </c>
      <c r="D75" t="s">
        <v>29</v>
      </c>
      <c r="E75" t="s">
        <v>59</v>
      </c>
      <c r="F75" s="3">
        <v>5157168399114020</v>
      </c>
      <c r="G75" t="s">
        <v>103</v>
      </c>
      <c r="H75">
        <f>_xlfn.XLOOKUP(Total_table[[#This Row],[ProduktnameName]],Produkte[ProduktName],Produkte[ProduktPreis],"wert fehlt",0)</f>
        <v>25</v>
      </c>
      <c r="I75" t="s">
        <v>17</v>
      </c>
    </row>
    <row r="76" spans="1:9" x14ac:dyDescent="0.3">
      <c r="A76">
        <v>75</v>
      </c>
      <c r="B76">
        <v>8</v>
      </c>
      <c r="C76" s="2">
        <v>44511</v>
      </c>
      <c r="D76" t="s">
        <v>49</v>
      </c>
      <c r="E76" t="s">
        <v>79</v>
      </c>
      <c r="F76" s="3">
        <v>5410033003668250</v>
      </c>
      <c r="G76" t="s">
        <v>97</v>
      </c>
      <c r="H76">
        <f>_xlfn.XLOOKUP(Total_table[[#This Row],[ProduktnameName]],Produkte[ProduktName],Produkte[ProduktPreis],"wert fehlt",0)</f>
        <v>8</v>
      </c>
      <c r="I76" t="s">
        <v>19</v>
      </c>
    </row>
    <row r="77" spans="1:9" x14ac:dyDescent="0.3">
      <c r="A77">
        <v>76</v>
      </c>
      <c r="B77">
        <v>9</v>
      </c>
      <c r="C77" s="2">
        <v>44913</v>
      </c>
      <c r="D77" t="s">
        <v>44</v>
      </c>
      <c r="E77" t="s">
        <v>74</v>
      </c>
      <c r="F77" s="3">
        <v>5249731309556310</v>
      </c>
      <c r="G77" t="s">
        <v>84</v>
      </c>
      <c r="H77">
        <f>_xlfn.XLOOKUP(Total_table[[#This Row],[ProduktnameName]],Produkte[ProduktName],Produkte[ProduktPreis],"wert fehlt",0)</f>
        <v>18</v>
      </c>
      <c r="I77" t="s">
        <v>20</v>
      </c>
    </row>
    <row r="78" spans="1:9" x14ac:dyDescent="0.3">
      <c r="A78">
        <v>77</v>
      </c>
      <c r="B78">
        <v>3</v>
      </c>
      <c r="C78" s="2">
        <v>45055</v>
      </c>
      <c r="D78" t="s">
        <v>29</v>
      </c>
      <c r="E78" t="s">
        <v>59</v>
      </c>
      <c r="F78" s="3">
        <v>5157168399114020</v>
      </c>
      <c r="G78" t="s">
        <v>108</v>
      </c>
      <c r="H78">
        <f>_xlfn.XLOOKUP(Total_table[[#This Row],[ProduktnameName]],Produkte[ProduktName],Produkte[ProduktPreis],"wert fehlt",0)</f>
        <v>175</v>
      </c>
      <c r="I78" t="s">
        <v>4</v>
      </c>
    </row>
    <row r="79" spans="1:9" x14ac:dyDescent="0.3">
      <c r="A79">
        <v>78</v>
      </c>
      <c r="B79">
        <v>5</v>
      </c>
      <c r="C79" s="2">
        <v>44427</v>
      </c>
      <c r="D79" t="s">
        <v>50</v>
      </c>
      <c r="E79" t="s">
        <v>80</v>
      </c>
      <c r="F79" s="3">
        <v>5115750948900930</v>
      </c>
      <c r="G79" t="s">
        <v>94</v>
      </c>
      <c r="H79">
        <f>_xlfn.XLOOKUP(Total_table[[#This Row],[ProduktnameName]],Produkte[ProduktName],Produkte[ProduktPreis],"wert fehlt",0)</f>
        <v>77</v>
      </c>
      <c r="I79" t="s">
        <v>19</v>
      </c>
    </row>
    <row r="80" spans="1:9" x14ac:dyDescent="0.3">
      <c r="A80">
        <v>79</v>
      </c>
      <c r="B80">
        <v>3</v>
      </c>
      <c r="C80" s="2">
        <v>44773</v>
      </c>
      <c r="D80" t="s">
        <v>43</v>
      </c>
      <c r="E80" t="s">
        <v>73</v>
      </c>
      <c r="F80" s="3">
        <v>5443412551823880</v>
      </c>
      <c r="G80" t="s">
        <v>122</v>
      </c>
      <c r="H80">
        <f>_xlfn.XLOOKUP(Total_table[[#This Row],[ProduktnameName]],Produkte[ProduktName],Produkte[ProduktPreis],"wert fehlt",0)</f>
        <v>130</v>
      </c>
      <c r="I80" t="s">
        <v>5</v>
      </c>
    </row>
    <row r="81" spans="1:9" x14ac:dyDescent="0.3">
      <c r="A81">
        <v>80</v>
      </c>
      <c r="B81">
        <v>7</v>
      </c>
      <c r="C81" s="2">
        <v>44602</v>
      </c>
      <c r="D81" t="s">
        <v>43</v>
      </c>
      <c r="E81" t="s">
        <v>73</v>
      </c>
      <c r="F81" s="3">
        <v>5443412551823880</v>
      </c>
      <c r="G81" t="s">
        <v>94</v>
      </c>
      <c r="H81">
        <f>_xlfn.XLOOKUP(Total_table[[#This Row],[ProduktnameName]],Produkte[ProduktName],Produkte[ProduktPreis],"wert fehlt",0)</f>
        <v>77</v>
      </c>
      <c r="I81" t="s">
        <v>19</v>
      </c>
    </row>
    <row r="82" spans="1:9" x14ac:dyDescent="0.3">
      <c r="A82">
        <v>81</v>
      </c>
      <c r="B82">
        <v>1</v>
      </c>
      <c r="C82" s="2">
        <v>44874</v>
      </c>
      <c r="D82" t="s">
        <v>37</v>
      </c>
      <c r="E82" t="s">
        <v>67</v>
      </c>
      <c r="F82" s="3">
        <v>5514830264595360</v>
      </c>
      <c r="G82" t="s">
        <v>95</v>
      </c>
      <c r="H82">
        <f>_xlfn.XLOOKUP(Total_table[[#This Row],[ProduktnameName]],Produkte[ProduktName],Produkte[ProduktPreis],"wert fehlt",0)</f>
        <v>56</v>
      </c>
      <c r="I82" t="s">
        <v>19</v>
      </c>
    </row>
    <row r="83" spans="1:9" x14ac:dyDescent="0.3">
      <c r="A83">
        <v>82</v>
      </c>
      <c r="B83">
        <v>6</v>
      </c>
      <c r="C83" s="2">
        <v>44381</v>
      </c>
      <c r="D83" t="s">
        <v>34</v>
      </c>
      <c r="E83" t="s">
        <v>64</v>
      </c>
      <c r="F83" s="3">
        <v>5152056017234780</v>
      </c>
      <c r="G83" t="s">
        <v>90</v>
      </c>
      <c r="H83">
        <f>_xlfn.XLOOKUP(Total_table[[#This Row],[ProduktnameName]],Produkte[ProduktName],Produkte[ProduktPreis],"wert fehlt",0)</f>
        <v>90</v>
      </c>
      <c r="I83" t="s">
        <v>5</v>
      </c>
    </row>
    <row r="84" spans="1:9" x14ac:dyDescent="0.3">
      <c r="A84">
        <v>83</v>
      </c>
      <c r="B84">
        <v>4</v>
      </c>
      <c r="C84" s="2">
        <v>44761</v>
      </c>
      <c r="D84" t="s">
        <v>25</v>
      </c>
      <c r="E84" t="s">
        <v>55</v>
      </c>
      <c r="F84" s="3">
        <v>5518441858555480</v>
      </c>
      <c r="G84" t="s">
        <v>83</v>
      </c>
      <c r="H84">
        <f>_xlfn.XLOOKUP(Total_table[[#This Row],[ProduktnameName]],Produkte[ProduktName],Produkte[ProduktPreis],"wert fehlt",0)</f>
        <v>700</v>
      </c>
      <c r="I84" t="s">
        <v>20</v>
      </c>
    </row>
    <row r="85" spans="1:9" x14ac:dyDescent="0.3">
      <c r="A85">
        <v>84</v>
      </c>
      <c r="B85">
        <v>4</v>
      </c>
      <c r="C85" s="2">
        <v>45059</v>
      </c>
      <c r="D85" t="s">
        <v>30</v>
      </c>
      <c r="E85" t="s">
        <v>60</v>
      </c>
      <c r="F85" s="3">
        <v>5132364984299640</v>
      </c>
      <c r="G85" t="s">
        <v>98</v>
      </c>
      <c r="H85">
        <f>_xlfn.XLOOKUP(Total_table[[#This Row],[ProduktnameName]],Produkte[ProduktName],Produkte[ProduktPreis],"wert fehlt",0)</f>
        <v>160</v>
      </c>
      <c r="I85" t="s">
        <v>22</v>
      </c>
    </row>
    <row r="86" spans="1:9" x14ac:dyDescent="0.3">
      <c r="A86">
        <v>85</v>
      </c>
      <c r="B86">
        <v>1</v>
      </c>
      <c r="C86" s="2">
        <v>44964</v>
      </c>
      <c r="D86" t="s">
        <v>43</v>
      </c>
      <c r="E86" t="s">
        <v>73</v>
      </c>
      <c r="F86" s="3">
        <v>5443412551823880</v>
      </c>
      <c r="G86" t="s">
        <v>113</v>
      </c>
      <c r="H86">
        <f>_xlfn.XLOOKUP(Total_table[[#This Row],[ProduktnameName]],Produkte[ProduktName],Produkte[ProduktPreis],"wert fehlt",0)</f>
        <v>80</v>
      </c>
      <c r="I86" t="s">
        <v>9</v>
      </c>
    </row>
    <row r="87" spans="1:9" x14ac:dyDescent="0.3">
      <c r="A87">
        <v>86</v>
      </c>
      <c r="B87">
        <v>4</v>
      </c>
      <c r="C87" s="2">
        <v>44615</v>
      </c>
      <c r="D87" t="s">
        <v>37</v>
      </c>
      <c r="E87" t="s">
        <v>67</v>
      </c>
      <c r="F87" s="3">
        <v>5514830264595360</v>
      </c>
      <c r="G87" t="s">
        <v>106</v>
      </c>
      <c r="H87">
        <f>_xlfn.XLOOKUP(Total_table[[#This Row],[ProduktnameName]],Produkte[ProduktName],Produkte[ProduktPreis],"wert fehlt",0)</f>
        <v>120</v>
      </c>
      <c r="I87" t="s">
        <v>7</v>
      </c>
    </row>
    <row r="88" spans="1:9" x14ac:dyDescent="0.3">
      <c r="A88">
        <v>87</v>
      </c>
      <c r="B88">
        <v>10</v>
      </c>
      <c r="C88" s="2">
        <v>44860</v>
      </c>
      <c r="D88" t="s">
        <v>31</v>
      </c>
      <c r="E88" t="s">
        <v>61</v>
      </c>
      <c r="F88" s="3">
        <v>5273849209977540</v>
      </c>
      <c r="G88" t="s">
        <v>108</v>
      </c>
      <c r="H88">
        <f>_xlfn.XLOOKUP(Total_table[[#This Row],[ProduktnameName]],Produkte[ProduktName],Produkte[ProduktPreis],"wert fehlt",0)</f>
        <v>175</v>
      </c>
      <c r="I88" t="s">
        <v>4</v>
      </c>
    </row>
    <row r="89" spans="1:9" x14ac:dyDescent="0.3">
      <c r="A89">
        <v>88</v>
      </c>
      <c r="B89">
        <v>4</v>
      </c>
      <c r="C89" s="2">
        <v>44238</v>
      </c>
      <c r="D89" t="s">
        <v>34</v>
      </c>
      <c r="E89" t="s">
        <v>64</v>
      </c>
      <c r="F89" s="3">
        <v>5152056017234780</v>
      </c>
      <c r="G89" t="s">
        <v>118</v>
      </c>
      <c r="H89">
        <f>_xlfn.XLOOKUP(Total_table[[#This Row],[ProduktnameName]],Produkte[ProduktName],Produkte[ProduktPreis],"wert fehlt",0)</f>
        <v>16</v>
      </c>
      <c r="I89" t="s">
        <v>16</v>
      </c>
    </row>
    <row r="90" spans="1:9" x14ac:dyDescent="0.3">
      <c r="A90">
        <v>89</v>
      </c>
      <c r="B90">
        <v>2</v>
      </c>
      <c r="C90" s="2">
        <v>44889</v>
      </c>
      <c r="D90" t="s">
        <v>27</v>
      </c>
      <c r="E90" t="s">
        <v>57</v>
      </c>
      <c r="F90" s="3">
        <v>5472347033020320</v>
      </c>
      <c r="G90" t="s">
        <v>103</v>
      </c>
      <c r="H90">
        <f>_xlfn.XLOOKUP(Total_table[[#This Row],[ProduktnameName]],Produkte[ProduktName],Produkte[ProduktPreis],"wert fehlt",0)</f>
        <v>25</v>
      </c>
      <c r="I90" t="s">
        <v>17</v>
      </c>
    </row>
    <row r="91" spans="1:9" x14ac:dyDescent="0.3">
      <c r="A91">
        <v>90</v>
      </c>
      <c r="B91">
        <v>8</v>
      </c>
      <c r="C91" s="2">
        <v>44276</v>
      </c>
      <c r="D91" t="s">
        <v>52</v>
      </c>
      <c r="E91" t="s">
        <v>82</v>
      </c>
      <c r="F91" s="3">
        <v>5314574774112590</v>
      </c>
      <c r="G91" t="s">
        <v>93</v>
      </c>
      <c r="H91">
        <f>_xlfn.XLOOKUP(Total_table[[#This Row],[ProduktnameName]],Produkte[ProduktName],Produkte[ProduktPreis],"wert fehlt",0)</f>
        <v>6200</v>
      </c>
      <c r="I91" t="s">
        <v>12</v>
      </c>
    </row>
    <row r="92" spans="1:9" x14ac:dyDescent="0.3">
      <c r="A92">
        <v>91</v>
      </c>
      <c r="B92">
        <v>4</v>
      </c>
      <c r="C92" s="2">
        <v>44370</v>
      </c>
      <c r="D92" t="s">
        <v>46</v>
      </c>
      <c r="E92" t="s">
        <v>76</v>
      </c>
      <c r="F92" s="3">
        <v>5406252550077780</v>
      </c>
      <c r="G92" t="s">
        <v>100</v>
      </c>
      <c r="H92">
        <f>_xlfn.XLOOKUP(Total_table[[#This Row],[ProduktnameName]],Produkte[ProduktName],Produkte[ProduktPreis],"wert fehlt",0)</f>
        <v>7</v>
      </c>
      <c r="I92" t="s">
        <v>22</v>
      </c>
    </row>
    <row r="93" spans="1:9" x14ac:dyDescent="0.3">
      <c r="A93">
        <v>92</v>
      </c>
      <c r="B93">
        <v>3</v>
      </c>
      <c r="C93" s="2">
        <v>44307</v>
      </c>
      <c r="D93" t="s">
        <v>49</v>
      </c>
      <c r="E93" t="s">
        <v>79</v>
      </c>
      <c r="F93" s="3">
        <v>5410033003668250</v>
      </c>
      <c r="G93" t="s">
        <v>112</v>
      </c>
      <c r="H93">
        <f>_xlfn.XLOOKUP(Total_table[[#This Row],[ProduktnameName]],Produkte[ProduktName],Produkte[ProduktPreis],"wert fehlt",0)</f>
        <v>85</v>
      </c>
      <c r="I93" t="s">
        <v>18</v>
      </c>
    </row>
    <row r="94" spans="1:9" x14ac:dyDescent="0.3">
      <c r="A94">
        <v>93</v>
      </c>
      <c r="B94">
        <v>5</v>
      </c>
      <c r="C94" s="2">
        <v>44694</v>
      </c>
      <c r="D94" t="s">
        <v>41</v>
      </c>
      <c r="E94" t="s">
        <v>71</v>
      </c>
      <c r="F94" s="3">
        <v>5188219748299840</v>
      </c>
      <c r="G94" t="s">
        <v>122</v>
      </c>
      <c r="H94">
        <f>_xlfn.XLOOKUP(Total_table[[#This Row],[ProduktnameName]],Produkte[ProduktName],Produkte[ProduktPreis],"wert fehlt",0)</f>
        <v>130</v>
      </c>
      <c r="I94" t="s">
        <v>5</v>
      </c>
    </row>
    <row r="95" spans="1:9" x14ac:dyDescent="0.3">
      <c r="A95">
        <v>94</v>
      </c>
      <c r="B95">
        <v>7</v>
      </c>
      <c r="C95" s="2">
        <v>44789</v>
      </c>
      <c r="D95" t="s">
        <v>33</v>
      </c>
      <c r="E95" t="s">
        <v>63</v>
      </c>
      <c r="F95" s="3">
        <v>5137727097274260</v>
      </c>
      <c r="G95" t="s">
        <v>113</v>
      </c>
      <c r="H95">
        <f>_xlfn.XLOOKUP(Total_table[[#This Row],[ProduktnameName]],Produkte[ProduktName],Produkte[ProduktPreis],"wert fehlt",0)</f>
        <v>80</v>
      </c>
      <c r="I95" t="s">
        <v>9</v>
      </c>
    </row>
    <row r="96" spans="1:9" x14ac:dyDescent="0.3">
      <c r="A96">
        <v>95</v>
      </c>
      <c r="B96">
        <v>8</v>
      </c>
      <c r="C96" s="2">
        <v>44560</v>
      </c>
      <c r="D96" t="s">
        <v>48</v>
      </c>
      <c r="E96" t="s">
        <v>78</v>
      </c>
      <c r="F96" s="3">
        <v>5489445526392380</v>
      </c>
      <c r="G96" t="s">
        <v>120</v>
      </c>
      <c r="H96">
        <f>_xlfn.XLOOKUP(Total_table[[#This Row],[ProduktnameName]],Produkte[ProduktName],Produkte[ProduktPreis],"wert fehlt",0)</f>
        <v>230</v>
      </c>
      <c r="I96" t="s">
        <v>21</v>
      </c>
    </row>
    <row r="97" spans="1:9" x14ac:dyDescent="0.3">
      <c r="A97">
        <v>96</v>
      </c>
      <c r="B97">
        <v>7</v>
      </c>
      <c r="C97" s="2">
        <v>44283</v>
      </c>
      <c r="D97" t="s">
        <v>42</v>
      </c>
      <c r="E97" t="s">
        <v>72</v>
      </c>
      <c r="F97" s="3">
        <v>5508107536078630</v>
      </c>
      <c r="G97" t="s">
        <v>118</v>
      </c>
      <c r="H97">
        <f>_xlfn.XLOOKUP(Total_table[[#This Row],[ProduktnameName]],Produkte[ProduktName],Produkte[ProduktPreis],"wert fehlt",0)</f>
        <v>16</v>
      </c>
      <c r="I97" t="s">
        <v>16</v>
      </c>
    </row>
    <row r="98" spans="1:9" x14ac:dyDescent="0.3">
      <c r="A98">
        <v>97</v>
      </c>
      <c r="B98">
        <v>8</v>
      </c>
      <c r="C98" s="2">
        <v>44125</v>
      </c>
      <c r="D98" t="s">
        <v>46</v>
      </c>
      <c r="E98" t="s">
        <v>76</v>
      </c>
      <c r="F98" s="3">
        <v>5406252550077780</v>
      </c>
      <c r="G98" t="s">
        <v>119</v>
      </c>
      <c r="H98">
        <f>_xlfn.XLOOKUP(Total_table[[#This Row],[ProduktnameName]],Produkte[ProduktName],Produkte[ProduktPreis],"wert fehlt",0)</f>
        <v>15000</v>
      </c>
      <c r="I98" t="s">
        <v>21</v>
      </c>
    </row>
    <row r="99" spans="1:9" x14ac:dyDescent="0.3">
      <c r="A99">
        <v>98</v>
      </c>
      <c r="B99">
        <v>2</v>
      </c>
      <c r="C99" s="2">
        <v>44443</v>
      </c>
      <c r="D99" t="s">
        <v>43</v>
      </c>
      <c r="E99" t="s">
        <v>73</v>
      </c>
      <c r="F99" s="3">
        <v>5443412551823880</v>
      </c>
      <c r="G99" t="s">
        <v>85</v>
      </c>
      <c r="H99">
        <f>_xlfn.XLOOKUP(Total_table[[#This Row],[ProduktnameName]],Produkte[ProduktName],Produkte[ProduktPreis],"wert fehlt",0)</f>
        <v>170</v>
      </c>
      <c r="I99" t="s">
        <v>20</v>
      </c>
    </row>
    <row r="100" spans="1:9" x14ac:dyDescent="0.3">
      <c r="A100">
        <v>99</v>
      </c>
      <c r="B100">
        <v>3</v>
      </c>
      <c r="C100" s="2">
        <v>44392</v>
      </c>
      <c r="D100" t="s">
        <v>52</v>
      </c>
      <c r="E100" t="s">
        <v>82</v>
      </c>
      <c r="F100" s="3">
        <v>5314574774112590</v>
      </c>
      <c r="G100" t="s">
        <v>104</v>
      </c>
      <c r="H100">
        <f>_xlfn.XLOOKUP(Total_table[[#This Row],[ProduktnameName]],Produkte[ProduktName],Produkte[ProduktPreis],"wert fehlt",0)</f>
        <v>200</v>
      </c>
      <c r="I100" t="s">
        <v>17</v>
      </c>
    </row>
    <row r="101" spans="1:9" x14ac:dyDescent="0.3">
      <c r="A101">
        <v>100</v>
      </c>
      <c r="B101">
        <v>6</v>
      </c>
      <c r="C101" s="2">
        <v>44441</v>
      </c>
      <c r="D101" t="s">
        <v>30</v>
      </c>
      <c r="E101" t="s">
        <v>60</v>
      </c>
      <c r="F101" s="3">
        <v>5132364984299640</v>
      </c>
      <c r="G101" t="s">
        <v>107</v>
      </c>
      <c r="H101">
        <f>_xlfn.XLOOKUP(Total_table[[#This Row],[ProduktnameName]],Produkte[ProduktName],Produkte[ProduktPreis],"wert fehlt",0)</f>
        <v>300</v>
      </c>
      <c r="I101" t="s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EAA8-F2CD-4F6A-B486-6F405D5FF4D2}">
  <dimension ref="A1:D43"/>
  <sheetViews>
    <sheetView workbookViewId="0">
      <selection activeCell="C21" sqref="C21"/>
    </sheetView>
  </sheetViews>
  <sheetFormatPr baseColWidth="10" defaultRowHeight="14.4" x14ac:dyDescent="0.3"/>
  <cols>
    <col min="2" max="2" width="43.88671875" bestFit="1" customWidth="1"/>
    <col min="3" max="3" width="13.6640625" customWidth="1"/>
    <col min="4" max="4" width="21.44140625" bestFit="1" customWidth="1"/>
  </cols>
  <sheetData>
    <row r="1" spans="1:4" x14ac:dyDescent="0.3">
      <c r="A1" t="s">
        <v>1</v>
      </c>
      <c r="B1" s="4" t="s">
        <v>187</v>
      </c>
      <c r="C1" s="4" t="s">
        <v>182</v>
      </c>
      <c r="D1" s="4" t="s">
        <v>186</v>
      </c>
    </row>
    <row r="2" spans="1:4" x14ac:dyDescent="0.3">
      <c r="A2">
        <v>1</v>
      </c>
      <c r="B2" s="6" t="s">
        <v>90</v>
      </c>
      <c r="C2" s="6">
        <v>90</v>
      </c>
      <c r="D2" s="6" t="s">
        <v>5</v>
      </c>
    </row>
    <row r="3" spans="1:4" x14ac:dyDescent="0.3">
      <c r="A3">
        <v>2</v>
      </c>
      <c r="B3" s="6" t="s">
        <v>86</v>
      </c>
      <c r="C3" s="6">
        <v>60</v>
      </c>
      <c r="D3" s="6" t="s">
        <v>20</v>
      </c>
    </row>
    <row r="4" spans="1:4" x14ac:dyDescent="0.3">
      <c r="A4">
        <v>3</v>
      </c>
      <c r="B4" s="6" t="s">
        <v>109</v>
      </c>
      <c r="C4" s="6">
        <v>1100</v>
      </c>
      <c r="D4" s="6" t="s">
        <v>14</v>
      </c>
    </row>
    <row r="5" spans="1:4" x14ac:dyDescent="0.3">
      <c r="A5">
        <v>4</v>
      </c>
      <c r="B5" s="6" t="s">
        <v>96</v>
      </c>
      <c r="C5" s="6">
        <v>220</v>
      </c>
      <c r="D5" s="6" t="s">
        <v>19</v>
      </c>
    </row>
    <row r="6" spans="1:4" x14ac:dyDescent="0.3">
      <c r="A6">
        <v>5</v>
      </c>
      <c r="B6" s="6" t="s">
        <v>91</v>
      </c>
      <c r="C6" s="6">
        <v>10500</v>
      </c>
      <c r="D6" s="6" t="s">
        <v>20</v>
      </c>
    </row>
    <row r="7" spans="1:4" x14ac:dyDescent="0.3">
      <c r="A7">
        <v>6</v>
      </c>
      <c r="B7" s="6" t="s">
        <v>121</v>
      </c>
      <c r="C7" s="6">
        <v>155</v>
      </c>
      <c r="D7" s="6" t="s">
        <v>8</v>
      </c>
    </row>
    <row r="8" spans="1:4" x14ac:dyDescent="0.3">
      <c r="A8">
        <v>7</v>
      </c>
      <c r="B8" s="6" t="s">
        <v>114</v>
      </c>
      <c r="C8" s="6">
        <v>140</v>
      </c>
      <c r="D8" s="6" t="s">
        <v>9</v>
      </c>
    </row>
    <row r="9" spans="1:4" x14ac:dyDescent="0.3">
      <c r="A9">
        <v>8</v>
      </c>
      <c r="B9" s="6" t="s">
        <v>107</v>
      </c>
      <c r="C9" s="6">
        <v>300</v>
      </c>
      <c r="D9" s="6" t="s">
        <v>20</v>
      </c>
    </row>
    <row r="10" spans="1:4" x14ac:dyDescent="0.3">
      <c r="A10">
        <v>9</v>
      </c>
      <c r="B10" s="6" t="s">
        <v>110</v>
      </c>
      <c r="C10" s="6">
        <v>100</v>
      </c>
      <c r="D10" s="6" t="s">
        <v>6</v>
      </c>
    </row>
    <row r="11" spans="1:4" x14ac:dyDescent="0.3">
      <c r="A11">
        <v>10</v>
      </c>
      <c r="B11" s="6" t="s">
        <v>105</v>
      </c>
      <c r="C11" s="6">
        <v>530</v>
      </c>
      <c r="D11" s="6" t="s">
        <v>7</v>
      </c>
    </row>
    <row r="12" spans="1:4" x14ac:dyDescent="0.3">
      <c r="A12">
        <v>11</v>
      </c>
      <c r="B12" s="6" t="s">
        <v>93</v>
      </c>
      <c r="C12" s="6">
        <v>6200</v>
      </c>
      <c r="D12" s="6" t="s">
        <v>12</v>
      </c>
    </row>
    <row r="13" spans="1:4" x14ac:dyDescent="0.3">
      <c r="A13">
        <v>12</v>
      </c>
      <c r="B13" s="6" t="s">
        <v>101</v>
      </c>
      <c r="C13" s="6">
        <v>35</v>
      </c>
      <c r="D13" s="6" t="s">
        <v>22</v>
      </c>
    </row>
    <row r="14" spans="1:4" x14ac:dyDescent="0.3">
      <c r="A14">
        <v>13</v>
      </c>
      <c r="B14" s="6" t="s">
        <v>88</v>
      </c>
      <c r="C14" s="6">
        <v>750</v>
      </c>
      <c r="D14" s="6" t="s">
        <v>15</v>
      </c>
    </row>
    <row r="15" spans="1:4" x14ac:dyDescent="0.3">
      <c r="A15">
        <v>14</v>
      </c>
      <c r="B15" s="6" t="s">
        <v>95</v>
      </c>
      <c r="C15" s="6">
        <v>56</v>
      </c>
      <c r="D15" s="6" t="s">
        <v>19</v>
      </c>
    </row>
    <row r="16" spans="1:4" x14ac:dyDescent="0.3">
      <c r="A16">
        <v>15</v>
      </c>
      <c r="B16" s="6" t="s">
        <v>111</v>
      </c>
      <c r="C16" s="6">
        <v>265</v>
      </c>
      <c r="D16" s="6" t="s">
        <v>18</v>
      </c>
    </row>
    <row r="17" spans="1:4" x14ac:dyDescent="0.3">
      <c r="A17">
        <v>16</v>
      </c>
      <c r="B17" s="6" t="s">
        <v>103</v>
      </c>
      <c r="C17" s="6">
        <v>25</v>
      </c>
      <c r="D17" s="6" t="s">
        <v>17</v>
      </c>
    </row>
    <row r="18" spans="1:4" x14ac:dyDescent="0.3">
      <c r="A18">
        <v>17</v>
      </c>
      <c r="B18" s="6" t="s">
        <v>116</v>
      </c>
      <c r="C18" s="6">
        <v>150</v>
      </c>
      <c r="D18" s="6" t="s">
        <v>16</v>
      </c>
    </row>
    <row r="19" spans="1:4" x14ac:dyDescent="0.3">
      <c r="A19">
        <v>18</v>
      </c>
      <c r="B19" s="6" t="s">
        <v>115</v>
      </c>
      <c r="C19" s="6">
        <v>160</v>
      </c>
      <c r="D19" s="6" t="s">
        <v>9</v>
      </c>
    </row>
    <row r="20" spans="1:4" x14ac:dyDescent="0.3">
      <c r="A20">
        <v>19</v>
      </c>
      <c r="B20" s="6" t="s">
        <v>94</v>
      </c>
      <c r="C20" s="6">
        <v>77</v>
      </c>
      <c r="D20" s="6" t="s">
        <v>19</v>
      </c>
    </row>
    <row r="21" spans="1:4" x14ac:dyDescent="0.3">
      <c r="A21">
        <v>20</v>
      </c>
      <c r="B21" s="6" t="s">
        <v>98</v>
      </c>
      <c r="C21" s="6">
        <v>160</v>
      </c>
      <c r="D21" s="6" t="s">
        <v>22</v>
      </c>
    </row>
    <row r="22" spans="1:4" x14ac:dyDescent="0.3">
      <c r="A22">
        <v>21</v>
      </c>
      <c r="B22" s="6" t="s">
        <v>92</v>
      </c>
      <c r="C22" s="6">
        <v>50</v>
      </c>
      <c r="D22" s="6" t="s">
        <v>12</v>
      </c>
    </row>
    <row r="23" spans="1:4" x14ac:dyDescent="0.3">
      <c r="A23">
        <v>22</v>
      </c>
      <c r="B23" s="6" t="s">
        <v>106</v>
      </c>
      <c r="C23" s="6">
        <v>120</v>
      </c>
      <c r="D23" s="6" t="s">
        <v>7</v>
      </c>
    </row>
    <row r="24" spans="1:4" x14ac:dyDescent="0.3">
      <c r="A24">
        <v>23</v>
      </c>
      <c r="B24" s="6" t="s">
        <v>87</v>
      </c>
      <c r="C24" s="6">
        <v>200</v>
      </c>
      <c r="D24" s="6" t="s">
        <v>11</v>
      </c>
    </row>
    <row r="25" spans="1:4" x14ac:dyDescent="0.3">
      <c r="A25">
        <v>24</v>
      </c>
      <c r="B25" s="6" t="s">
        <v>89</v>
      </c>
      <c r="C25" s="6">
        <v>190</v>
      </c>
      <c r="D25" s="6" t="s">
        <v>5</v>
      </c>
    </row>
    <row r="26" spans="1:4" x14ac:dyDescent="0.3">
      <c r="A26">
        <v>25</v>
      </c>
      <c r="B26" s="6" t="s">
        <v>117</v>
      </c>
      <c r="C26" s="6">
        <v>20</v>
      </c>
      <c r="D26" s="6" t="s">
        <v>16</v>
      </c>
    </row>
    <row r="27" spans="1:4" x14ac:dyDescent="0.3">
      <c r="A27">
        <v>26</v>
      </c>
      <c r="B27" s="6" t="s">
        <v>123</v>
      </c>
      <c r="C27" s="6">
        <v>150</v>
      </c>
      <c r="D27" s="6" t="s">
        <v>13</v>
      </c>
    </row>
    <row r="28" spans="1:4" x14ac:dyDescent="0.3">
      <c r="A28">
        <v>27</v>
      </c>
      <c r="B28" s="6" t="s">
        <v>99</v>
      </c>
      <c r="C28" s="6">
        <v>13</v>
      </c>
      <c r="D28" s="6" t="s">
        <v>22</v>
      </c>
    </row>
    <row r="29" spans="1:4" x14ac:dyDescent="0.3">
      <c r="A29">
        <v>28</v>
      </c>
      <c r="B29" s="6" t="s">
        <v>118</v>
      </c>
      <c r="C29" s="6">
        <v>16</v>
      </c>
      <c r="D29" s="6" t="s">
        <v>16</v>
      </c>
    </row>
    <row r="30" spans="1:4" x14ac:dyDescent="0.3">
      <c r="A30">
        <v>29</v>
      </c>
      <c r="B30" s="6" t="s">
        <v>97</v>
      </c>
      <c r="C30" s="6">
        <v>8</v>
      </c>
      <c r="D30" s="6" t="s">
        <v>19</v>
      </c>
    </row>
    <row r="31" spans="1:4" x14ac:dyDescent="0.3">
      <c r="A31">
        <v>30</v>
      </c>
      <c r="B31" s="6" t="s">
        <v>84</v>
      </c>
      <c r="C31" s="6">
        <v>18</v>
      </c>
      <c r="D31" s="6" t="s">
        <v>20</v>
      </c>
    </row>
    <row r="32" spans="1:4" x14ac:dyDescent="0.3">
      <c r="A32">
        <v>31</v>
      </c>
      <c r="B32" s="6" t="s">
        <v>112</v>
      </c>
      <c r="C32" s="6">
        <v>85</v>
      </c>
      <c r="D32" s="6" t="s">
        <v>18</v>
      </c>
    </row>
    <row r="33" spans="1:4" x14ac:dyDescent="0.3">
      <c r="A33">
        <v>32</v>
      </c>
      <c r="B33" s="6" t="s">
        <v>119</v>
      </c>
      <c r="C33" s="6">
        <v>15000</v>
      </c>
      <c r="D33" s="6" t="s">
        <v>21</v>
      </c>
    </row>
    <row r="34" spans="1:4" x14ac:dyDescent="0.3">
      <c r="A34">
        <v>33</v>
      </c>
      <c r="B34" s="6" t="s">
        <v>102</v>
      </c>
      <c r="C34" s="6">
        <v>20</v>
      </c>
      <c r="D34" s="6" t="s">
        <v>17</v>
      </c>
    </row>
    <row r="35" spans="1:4" x14ac:dyDescent="0.3">
      <c r="A35">
        <v>34</v>
      </c>
      <c r="B35" s="6" t="s">
        <v>108</v>
      </c>
      <c r="C35" s="6">
        <v>175</v>
      </c>
      <c r="D35" s="6" t="s">
        <v>4</v>
      </c>
    </row>
    <row r="36" spans="1:4" x14ac:dyDescent="0.3">
      <c r="A36">
        <v>35</v>
      </c>
      <c r="B36" s="6" t="s">
        <v>100</v>
      </c>
      <c r="C36" s="6">
        <v>7</v>
      </c>
      <c r="D36" s="6" t="s">
        <v>22</v>
      </c>
    </row>
    <row r="37" spans="1:4" x14ac:dyDescent="0.3">
      <c r="A37">
        <v>36</v>
      </c>
      <c r="B37" s="6" t="s">
        <v>85</v>
      </c>
      <c r="C37" s="6">
        <v>170</v>
      </c>
      <c r="D37" s="6" t="s">
        <v>20</v>
      </c>
    </row>
    <row r="38" spans="1:4" x14ac:dyDescent="0.3">
      <c r="A38">
        <v>37</v>
      </c>
      <c r="B38" s="6" t="s">
        <v>120</v>
      </c>
      <c r="C38" s="6">
        <v>230</v>
      </c>
      <c r="D38" s="6" t="s">
        <v>21</v>
      </c>
    </row>
    <row r="39" spans="1:4" x14ac:dyDescent="0.3">
      <c r="A39">
        <v>38</v>
      </c>
      <c r="B39" s="6" t="s">
        <v>83</v>
      </c>
      <c r="C39" s="6">
        <v>700</v>
      </c>
      <c r="D39" s="6" t="s">
        <v>20</v>
      </c>
    </row>
    <row r="40" spans="1:4" x14ac:dyDescent="0.3">
      <c r="A40">
        <v>39</v>
      </c>
      <c r="B40" s="6" t="s">
        <v>104</v>
      </c>
      <c r="C40" s="6">
        <v>200</v>
      </c>
      <c r="D40" s="6" t="s">
        <v>17</v>
      </c>
    </row>
    <row r="41" spans="1:4" x14ac:dyDescent="0.3">
      <c r="A41">
        <v>40</v>
      </c>
      <c r="B41" s="6" t="s">
        <v>113</v>
      </c>
      <c r="C41" s="6">
        <v>80</v>
      </c>
      <c r="D41" s="6" t="s">
        <v>9</v>
      </c>
    </row>
    <row r="42" spans="1:4" x14ac:dyDescent="0.3">
      <c r="A42">
        <v>41</v>
      </c>
      <c r="B42" s="6" t="s">
        <v>124</v>
      </c>
      <c r="C42" s="6">
        <v>100</v>
      </c>
      <c r="D42" s="6" t="s">
        <v>10</v>
      </c>
    </row>
    <row r="43" spans="1:4" x14ac:dyDescent="0.3">
      <c r="A43">
        <v>42</v>
      </c>
      <c r="B43" s="6" t="s">
        <v>122</v>
      </c>
      <c r="C43" s="6">
        <v>130</v>
      </c>
      <c r="D43" s="6" t="s">
        <v>5</v>
      </c>
    </row>
  </sheetData>
  <sortState xmlns:xlrd2="http://schemas.microsoft.com/office/spreadsheetml/2017/richdata2" ref="B2:D43">
    <sortCondition ref="B2:B43"/>
  </sortState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D245-2E98-4544-B0C1-6C61E001EEDC}">
  <dimension ref="A1:D31"/>
  <sheetViews>
    <sheetView workbookViewId="0">
      <selection activeCell="D3" sqref="D3"/>
    </sheetView>
  </sheetViews>
  <sheetFormatPr baseColWidth="10" defaultRowHeight="14.4" x14ac:dyDescent="0.3"/>
  <cols>
    <col min="2" max="2" width="19.44140625" bestFit="1" customWidth="1"/>
    <col min="3" max="3" width="42.6640625" bestFit="1" customWidth="1"/>
    <col min="4" max="4" width="18" bestFit="1" customWidth="1"/>
  </cols>
  <sheetData>
    <row r="1" spans="1:4" x14ac:dyDescent="0.3">
      <c r="A1" t="s">
        <v>0</v>
      </c>
      <c r="B1" s="5" t="s">
        <v>183</v>
      </c>
      <c r="C1" s="5" t="s">
        <v>184</v>
      </c>
      <c r="D1" s="5" t="s">
        <v>185</v>
      </c>
    </row>
    <row r="2" spans="1:4" x14ac:dyDescent="0.3">
      <c r="A2">
        <v>1</v>
      </c>
      <c r="B2" s="6" t="s">
        <v>52</v>
      </c>
      <c r="C2" s="6" t="s">
        <v>82</v>
      </c>
      <c r="D2" s="7">
        <v>5314574774112590</v>
      </c>
    </row>
    <row r="3" spans="1:4" x14ac:dyDescent="0.3">
      <c r="A3">
        <v>2</v>
      </c>
      <c r="B3" s="6" t="s">
        <v>49</v>
      </c>
      <c r="C3" s="6" t="s">
        <v>79</v>
      </c>
      <c r="D3" s="7">
        <v>5410033003668250</v>
      </c>
    </row>
    <row r="4" spans="1:4" x14ac:dyDescent="0.3">
      <c r="A4">
        <v>3</v>
      </c>
      <c r="B4" s="6" t="s">
        <v>28</v>
      </c>
      <c r="C4" s="6" t="s">
        <v>58</v>
      </c>
      <c r="D4" s="7">
        <v>5270254082243370</v>
      </c>
    </row>
    <row r="5" spans="1:4" x14ac:dyDescent="0.3">
      <c r="A5">
        <v>4</v>
      </c>
      <c r="B5" s="6" t="s">
        <v>37</v>
      </c>
      <c r="C5" s="6" t="s">
        <v>67</v>
      </c>
      <c r="D5" s="7">
        <v>5514830264595360</v>
      </c>
    </row>
    <row r="6" spans="1:4" x14ac:dyDescent="0.3">
      <c r="A6">
        <v>5</v>
      </c>
      <c r="B6" s="6" t="s">
        <v>51</v>
      </c>
      <c r="C6" s="6" t="s">
        <v>81</v>
      </c>
      <c r="D6" s="7">
        <v>5282418605703000</v>
      </c>
    </row>
    <row r="7" spans="1:4" x14ac:dyDescent="0.3">
      <c r="A7">
        <v>6</v>
      </c>
      <c r="B7" s="6" t="s">
        <v>34</v>
      </c>
      <c r="C7" s="6" t="s">
        <v>64</v>
      </c>
      <c r="D7" s="7">
        <v>5152056017234780</v>
      </c>
    </row>
    <row r="8" spans="1:4" x14ac:dyDescent="0.3">
      <c r="A8">
        <v>7</v>
      </c>
      <c r="B8" s="6" t="s">
        <v>47</v>
      </c>
      <c r="C8" s="6" t="s">
        <v>77</v>
      </c>
      <c r="D8" s="7">
        <v>5395802826980750</v>
      </c>
    </row>
    <row r="9" spans="1:4" x14ac:dyDescent="0.3">
      <c r="A9">
        <v>8</v>
      </c>
      <c r="B9" s="6" t="s">
        <v>31</v>
      </c>
      <c r="C9" s="6" t="s">
        <v>61</v>
      </c>
      <c r="D9" s="7">
        <v>5273849209977540</v>
      </c>
    </row>
    <row r="10" spans="1:4" x14ac:dyDescent="0.3">
      <c r="A10">
        <v>9</v>
      </c>
      <c r="B10" s="6" t="s">
        <v>39</v>
      </c>
      <c r="C10" s="6" t="s">
        <v>69</v>
      </c>
      <c r="D10" s="7">
        <v>5236195016854390</v>
      </c>
    </row>
    <row r="11" spans="1:4" x14ac:dyDescent="0.3">
      <c r="A11">
        <v>10</v>
      </c>
      <c r="B11" s="6" t="s">
        <v>41</v>
      </c>
      <c r="C11" s="6" t="s">
        <v>71</v>
      </c>
      <c r="D11" s="7">
        <v>5188219748299840</v>
      </c>
    </row>
    <row r="12" spans="1:4" x14ac:dyDescent="0.3">
      <c r="A12">
        <v>11</v>
      </c>
      <c r="B12" s="6" t="s">
        <v>43</v>
      </c>
      <c r="C12" s="6" t="s">
        <v>73</v>
      </c>
      <c r="D12" s="7">
        <v>5443412551823880</v>
      </c>
    </row>
    <row r="13" spans="1:4" x14ac:dyDescent="0.3">
      <c r="A13">
        <v>12</v>
      </c>
      <c r="B13" s="6" t="s">
        <v>24</v>
      </c>
      <c r="C13" s="6" t="s">
        <v>54</v>
      </c>
      <c r="D13" s="7">
        <v>5452530720864080</v>
      </c>
    </row>
    <row r="14" spans="1:4" x14ac:dyDescent="0.3">
      <c r="A14">
        <v>13</v>
      </c>
      <c r="B14" s="6" t="s">
        <v>40</v>
      </c>
      <c r="C14" s="6" t="s">
        <v>70</v>
      </c>
      <c r="D14" s="7">
        <v>5372767251150500</v>
      </c>
    </row>
    <row r="15" spans="1:4" x14ac:dyDescent="0.3">
      <c r="A15">
        <v>14</v>
      </c>
      <c r="B15" s="6" t="s">
        <v>50</v>
      </c>
      <c r="C15" s="6" t="s">
        <v>80</v>
      </c>
      <c r="D15" s="7">
        <v>5115750948900930</v>
      </c>
    </row>
    <row r="16" spans="1:4" x14ac:dyDescent="0.3">
      <c r="A16">
        <v>15</v>
      </c>
      <c r="B16" s="6" t="s">
        <v>38</v>
      </c>
      <c r="C16" s="6" t="s">
        <v>68</v>
      </c>
      <c r="D16" s="7">
        <v>5585728810236310</v>
      </c>
    </row>
    <row r="17" spans="1:4" x14ac:dyDescent="0.3">
      <c r="A17">
        <v>16</v>
      </c>
      <c r="B17" s="6" t="s">
        <v>36</v>
      </c>
      <c r="C17" s="6" t="s">
        <v>66</v>
      </c>
      <c r="D17" s="7">
        <v>5386779659180120</v>
      </c>
    </row>
    <row r="18" spans="1:4" x14ac:dyDescent="0.3">
      <c r="A18">
        <v>17</v>
      </c>
      <c r="B18" s="6" t="s">
        <v>23</v>
      </c>
      <c r="C18" s="6" t="s">
        <v>53</v>
      </c>
      <c r="D18" s="7">
        <v>5235734980328510</v>
      </c>
    </row>
    <row r="19" spans="1:4" x14ac:dyDescent="0.3">
      <c r="A19">
        <v>18</v>
      </c>
      <c r="B19" s="6" t="s">
        <v>35</v>
      </c>
      <c r="C19" s="6" t="s">
        <v>65</v>
      </c>
      <c r="D19" s="7">
        <v>5589388672263750</v>
      </c>
    </row>
    <row r="20" spans="1:4" x14ac:dyDescent="0.3">
      <c r="A20">
        <v>19</v>
      </c>
      <c r="B20" s="6" t="s">
        <v>46</v>
      </c>
      <c r="C20" s="6" t="s">
        <v>76</v>
      </c>
      <c r="D20" s="7">
        <v>5406252550077780</v>
      </c>
    </row>
    <row r="21" spans="1:4" x14ac:dyDescent="0.3">
      <c r="A21">
        <v>20</v>
      </c>
      <c r="B21" s="6" t="s">
        <v>45</v>
      </c>
      <c r="C21" s="6" t="s">
        <v>75</v>
      </c>
      <c r="D21" s="7">
        <v>5126703055317810</v>
      </c>
    </row>
    <row r="22" spans="1:4" x14ac:dyDescent="0.3">
      <c r="A22">
        <v>21</v>
      </c>
      <c r="B22" s="6" t="s">
        <v>26</v>
      </c>
      <c r="C22" s="6" t="s">
        <v>56</v>
      </c>
      <c r="D22" s="7">
        <v>5473450221585970</v>
      </c>
    </row>
    <row r="23" spans="1:4" x14ac:dyDescent="0.3">
      <c r="A23">
        <v>22</v>
      </c>
      <c r="B23" s="6" t="s">
        <v>25</v>
      </c>
      <c r="C23" s="6" t="s">
        <v>55</v>
      </c>
      <c r="D23" s="7">
        <v>5518441858555480</v>
      </c>
    </row>
    <row r="24" spans="1:4" x14ac:dyDescent="0.3">
      <c r="A24">
        <v>23</v>
      </c>
      <c r="B24" s="6" t="s">
        <v>29</v>
      </c>
      <c r="C24" s="6" t="s">
        <v>59</v>
      </c>
      <c r="D24" s="7">
        <v>5157168399114020</v>
      </c>
    </row>
    <row r="25" spans="1:4" x14ac:dyDescent="0.3">
      <c r="A25">
        <v>24</v>
      </c>
      <c r="B25" s="6" t="s">
        <v>27</v>
      </c>
      <c r="C25" s="6" t="s">
        <v>57</v>
      </c>
      <c r="D25" s="7">
        <v>5472347033020320</v>
      </c>
    </row>
    <row r="26" spans="1:4" x14ac:dyDescent="0.3">
      <c r="A26">
        <v>25</v>
      </c>
      <c r="B26" s="6" t="s">
        <v>44</v>
      </c>
      <c r="C26" s="6" t="s">
        <v>74</v>
      </c>
      <c r="D26" s="7">
        <v>5249731309556310</v>
      </c>
    </row>
    <row r="27" spans="1:4" x14ac:dyDescent="0.3">
      <c r="A27">
        <v>26</v>
      </c>
      <c r="B27" s="6" t="s">
        <v>32</v>
      </c>
      <c r="C27" s="6" t="s">
        <v>62</v>
      </c>
      <c r="D27" s="7">
        <v>5295286000737500</v>
      </c>
    </row>
    <row r="28" spans="1:4" x14ac:dyDescent="0.3">
      <c r="A28">
        <v>27</v>
      </c>
      <c r="B28" s="6" t="s">
        <v>30</v>
      </c>
      <c r="C28" s="6" t="s">
        <v>60</v>
      </c>
      <c r="D28" s="7">
        <v>5132364984299640</v>
      </c>
    </row>
    <row r="29" spans="1:4" x14ac:dyDescent="0.3">
      <c r="A29">
        <v>28</v>
      </c>
      <c r="B29" s="6" t="s">
        <v>42</v>
      </c>
      <c r="C29" s="6" t="s">
        <v>72</v>
      </c>
      <c r="D29" s="7">
        <v>5508107536078630</v>
      </c>
    </row>
    <row r="30" spans="1:4" x14ac:dyDescent="0.3">
      <c r="A30">
        <v>29</v>
      </c>
      <c r="B30" s="6" t="s">
        <v>33</v>
      </c>
      <c r="C30" s="6" t="s">
        <v>63</v>
      </c>
      <c r="D30" s="7">
        <v>5137727097274260</v>
      </c>
    </row>
    <row r="31" spans="1:4" x14ac:dyDescent="0.3">
      <c r="A31">
        <v>30</v>
      </c>
      <c r="B31" s="6" t="s">
        <v>48</v>
      </c>
      <c r="C31" s="6" t="s">
        <v>78</v>
      </c>
      <c r="D31" s="7">
        <v>5489445526392380</v>
      </c>
    </row>
  </sheetData>
  <sortState xmlns:xlrd2="http://schemas.microsoft.com/office/spreadsheetml/2017/richdata2" ref="B2:D32">
    <sortCondition ref="B2:B32"/>
  </sortState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3EA2-BC86-4181-B7CA-75097A0305CF}">
  <dimension ref="A1:E101"/>
  <sheetViews>
    <sheetView workbookViewId="0">
      <selection activeCell="F7" sqref="F7"/>
    </sheetView>
  </sheetViews>
  <sheetFormatPr baseColWidth="10" defaultRowHeight="14.4" x14ac:dyDescent="0.3"/>
  <cols>
    <col min="3" max="3" width="13.88671875" customWidth="1"/>
    <col min="5" max="5" width="13.33203125" customWidth="1"/>
    <col min="6" max="6" width="14.88671875" customWidth="1"/>
    <col min="7" max="7" width="17.6640625" customWidth="1"/>
    <col min="9" max="9" width="19.44140625" customWidth="1"/>
    <col min="10" max="10" width="13.6640625" customWidth="1"/>
    <col min="11" max="11" width="21.44140625" bestFit="1" customWidth="1"/>
  </cols>
  <sheetData>
    <row r="1" spans="1:5" x14ac:dyDescent="0.3">
      <c r="A1" t="s">
        <v>125</v>
      </c>
      <c r="B1" s="5" t="s">
        <v>2</v>
      </c>
      <c r="C1" s="5" t="s">
        <v>3</v>
      </c>
      <c r="D1" s="5" t="s">
        <v>0</v>
      </c>
      <c r="E1" s="5" t="s">
        <v>1</v>
      </c>
    </row>
    <row r="2" spans="1:5" x14ac:dyDescent="0.3">
      <c r="A2">
        <v>1</v>
      </c>
      <c r="B2" s="6">
        <v>8</v>
      </c>
      <c r="C2" s="8">
        <v>44125</v>
      </c>
      <c r="D2" s="6">
        <v>19</v>
      </c>
      <c r="E2" s="6">
        <v>32</v>
      </c>
    </row>
    <row r="3" spans="1:5" x14ac:dyDescent="0.3">
      <c r="A3">
        <v>2</v>
      </c>
      <c r="B3" s="6">
        <v>3</v>
      </c>
      <c r="C3" s="8">
        <v>44218</v>
      </c>
      <c r="D3" s="6">
        <v>2</v>
      </c>
      <c r="E3" s="6">
        <v>33</v>
      </c>
    </row>
    <row r="4" spans="1:5" x14ac:dyDescent="0.3">
      <c r="A4">
        <v>3</v>
      </c>
      <c r="B4" s="6">
        <v>5</v>
      </c>
      <c r="C4" s="8">
        <v>44237</v>
      </c>
      <c r="D4" s="6">
        <v>8</v>
      </c>
      <c r="E4" s="6">
        <v>27</v>
      </c>
    </row>
    <row r="5" spans="1:5" x14ac:dyDescent="0.3">
      <c r="A5">
        <v>4</v>
      </c>
      <c r="B5" s="6">
        <v>4</v>
      </c>
      <c r="C5" s="8">
        <v>44238</v>
      </c>
      <c r="D5" s="6">
        <v>6</v>
      </c>
      <c r="E5" s="6">
        <v>28</v>
      </c>
    </row>
    <row r="6" spans="1:5" x14ac:dyDescent="0.3">
      <c r="A6">
        <v>5</v>
      </c>
      <c r="B6" s="6">
        <v>1</v>
      </c>
      <c r="C6" s="8">
        <v>44266</v>
      </c>
      <c r="D6" s="6">
        <v>7</v>
      </c>
      <c r="E6" s="6">
        <v>9</v>
      </c>
    </row>
    <row r="7" spans="1:5" x14ac:dyDescent="0.3">
      <c r="A7">
        <v>6</v>
      </c>
      <c r="B7" s="6">
        <v>9</v>
      </c>
      <c r="C7" s="8">
        <v>44272</v>
      </c>
      <c r="D7" s="6">
        <v>15</v>
      </c>
      <c r="E7" s="6">
        <v>7</v>
      </c>
    </row>
    <row r="8" spans="1:5" x14ac:dyDescent="0.3">
      <c r="A8">
        <v>7</v>
      </c>
      <c r="B8" s="6">
        <v>8</v>
      </c>
      <c r="C8" s="8">
        <v>44276</v>
      </c>
      <c r="D8" s="6">
        <v>1</v>
      </c>
      <c r="E8" s="6">
        <v>11</v>
      </c>
    </row>
    <row r="9" spans="1:5" x14ac:dyDescent="0.3">
      <c r="A9">
        <v>8</v>
      </c>
      <c r="B9" s="6">
        <v>7</v>
      </c>
      <c r="C9" s="8">
        <v>44283</v>
      </c>
      <c r="D9" s="6">
        <v>28</v>
      </c>
      <c r="E9" s="6">
        <v>28</v>
      </c>
    </row>
    <row r="10" spans="1:5" x14ac:dyDescent="0.3">
      <c r="A10">
        <v>9</v>
      </c>
      <c r="B10" s="6">
        <v>3</v>
      </c>
      <c r="C10" s="8">
        <v>44307</v>
      </c>
      <c r="D10" s="6">
        <v>2</v>
      </c>
      <c r="E10" s="6">
        <v>31</v>
      </c>
    </row>
    <row r="11" spans="1:5" x14ac:dyDescent="0.3">
      <c r="A11">
        <v>10</v>
      </c>
      <c r="B11" s="6">
        <v>4</v>
      </c>
      <c r="C11" s="8">
        <v>44310</v>
      </c>
      <c r="D11" s="6">
        <v>3</v>
      </c>
      <c r="E11" s="6">
        <v>29</v>
      </c>
    </row>
    <row r="12" spans="1:5" x14ac:dyDescent="0.3">
      <c r="A12">
        <v>11</v>
      </c>
      <c r="B12" s="6">
        <v>4</v>
      </c>
      <c r="C12" s="8">
        <v>44370</v>
      </c>
      <c r="D12" s="6">
        <v>19</v>
      </c>
      <c r="E12" s="6">
        <v>35</v>
      </c>
    </row>
    <row r="13" spans="1:5" x14ac:dyDescent="0.3">
      <c r="A13">
        <v>12</v>
      </c>
      <c r="B13" s="6">
        <v>6</v>
      </c>
      <c r="C13" s="8">
        <v>44381</v>
      </c>
      <c r="D13" s="6">
        <v>6</v>
      </c>
      <c r="E13" s="6">
        <v>1</v>
      </c>
    </row>
    <row r="14" spans="1:5" x14ac:dyDescent="0.3">
      <c r="A14">
        <v>13</v>
      </c>
      <c r="B14" s="6">
        <v>3</v>
      </c>
      <c r="C14" s="8">
        <v>44392</v>
      </c>
      <c r="D14" s="6">
        <v>1</v>
      </c>
      <c r="E14" s="6">
        <v>39</v>
      </c>
    </row>
    <row r="15" spans="1:5" x14ac:dyDescent="0.3">
      <c r="A15">
        <v>14</v>
      </c>
      <c r="B15" s="6">
        <v>7</v>
      </c>
      <c r="C15" s="8">
        <v>44421</v>
      </c>
      <c r="D15" s="6">
        <v>23</v>
      </c>
      <c r="E15" s="6">
        <v>16</v>
      </c>
    </row>
    <row r="16" spans="1:5" x14ac:dyDescent="0.3">
      <c r="A16">
        <v>15</v>
      </c>
      <c r="B16" s="6">
        <v>5</v>
      </c>
      <c r="C16" s="8">
        <v>44427</v>
      </c>
      <c r="D16" s="6">
        <v>14</v>
      </c>
      <c r="E16" s="6">
        <v>19</v>
      </c>
    </row>
    <row r="17" spans="1:5" x14ac:dyDescent="0.3">
      <c r="A17">
        <v>16</v>
      </c>
      <c r="B17" s="6">
        <v>6</v>
      </c>
      <c r="C17" s="8">
        <v>44441</v>
      </c>
      <c r="D17" s="6">
        <v>27</v>
      </c>
      <c r="E17" s="6">
        <v>8</v>
      </c>
    </row>
    <row r="18" spans="1:5" x14ac:dyDescent="0.3">
      <c r="A18">
        <v>17</v>
      </c>
      <c r="B18" s="6">
        <v>2</v>
      </c>
      <c r="C18" s="8">
        <v>44443</v>
      </c>
      <c r="D18" s="6">
        <v>11</v>
      </c>
      <c r="E18" s="6">
        <v>36</v>
      </c>
    </row>
    <row r="19" spans="1:5" x14ac:dyDescent="0.3">
      <c r="A19">
        <v>18</v>
      </c>
      <c r="B19" s="6">
        <v>8</v>
      </c>
      <c r="C19" s="8">
        <v>44480</v>
      </c>
      <c r="D19" s="6">
        <v>6</v>
      </c>
      <c r="E19" s="6">
        <v>24</v>
      </c>
    </row>
    <row r="20" spans="1:5" x14ac:dyDescent="0.3">
      <c r="A20">
        <v>19</v>
      </c>
      <c r="B20" s="6">
        <v>2</v>
      </c>
      <c r="C20" s="8">
        <v>44508</v>
      </c>
      <c r="D20" s="6">
        <v>18</v>
      </c>
      <c r="E20" s="6">
        <v>16</v>
      </c>
    </row>
    <row r="21" spans="1:5" x14ac:dyDescent="0.3">
      <c r="A21">
        <v>20</v>
      </c>
      <c r="B21" s="6">
        <v>8</v>
      </c>
      <c r="C21" s="8">
        <v>44511</v>
      </c>
      <c r="D21" s="6">
        <v>2</v>
      </c>
      <c r="E21" s="6">
        <v>29</v>
      </c>
    </row>
    <row r="22" spans="1:5" x14ac:dyDescent="0.3">
      <c r="A22">
        <v>21</v>
      </c>
      <c r="B22" s="6">
        <v>9</v>
      </c>
      <c r="C22" s="8">
        <v>44552</v>
      </c>
      <c r="D22" s="6">
        <v>3</v>
      </c>
      <c r="E22" s="6">
        <v>29</v>
      </c>
    </row>
    <row r="23" spans="1:5" x14ac:dyDescent="0.3">
      <c r="A23">
        <v>22</v>
      </c>
      <c r="B23" s="6">
        <v>8</v>
      </c>
      <c r="C23" s="8">
        <v>44560</v>
      </c>
      <c r="D23" s="6">
        <v>30</v>
      </c>
      <c r="E23" s="6">
        <v>37</v>
      </c>
    </row>
    <row r="24" spans="1:5" x14ac:dyDescent="0.3">
      <c r="A24">
        <v>23</v>
      </c>
      <c r="B24" s="6">
        <v>7</v>
      </c>
      <c r="C24" s="8">
        <v>44602</v>
      </c>
      <c r="D24" s="6">
        <v>11</v>
      </c>
      <c r="E24" s="6">
        <v>19</v>
      </c>
    </row>
    <row r="25" spans="1:5" x14ac:dyDescent="0.3">
      <c r="A25">
        <v>24</v>
      </c>
      <c r="B25" s="6">
        <v>4</v>
      </c>
      <c r="C25" s="8">
        <v>44615</v>
      </c>
      <c r="D25" s="6">
        <v>4</v>
      </c>
      <c r="E25" s="6">
        <v>22</v>
      </c>
    </row>
    <row r="26" spans="1:5" x14ac:dyDescent="0.3">
      <c r="A26">
        <v>25</v>
      </c>
      <c r="B26" s="6">
        <v>9</v>
      </c>
      <c r="C26" s="8">
        <v>44630</v>
      </c>
      <c r="D26" s="6">
        <v>9</v>
      </c>
      <c r="E26" s="6">
        <v>25</v>
      </c>
    </row>
    <row r="27" spans="1:5" x14ac:dyDescent="0.3">
      <c r="A27">
        <v>26</v>
      </c>
      <c r="B27" s="6">
        <v>6</v>
      </c>
      <c r="C27" s="8">
        <v>44692</v>
      </c>
      <c r="D27" s="6">
        <v>5</v>
      </c>
      <c r="E27" s="6">
        <v>9</v>
      </c>
    </row>
    <row r="28" spans="1:5" x14ac:dyDescent="0.3">
      <c r="A28">
        <v>27</v>
      </c>
      <c r="B28" s="6">
        <v>5</v>
      </c>
      <c r="C28" s="8">
        <v>44694</v>
      </c>
      <c r="D28" s="6">
        <v>10</v>
      </c>
      <c r="E28" s="6">
        <v>42</v>
      </c>
    </row>
    <row r="29" spans="1:5" x14ac:dyDescent="0.3">
      <c r="A29">
        <v>28</v>
      </c>
      <c r="B29" s="6">
        <v>6</v>
      </c>
      <c r="C29" s="9" t="s">
        <v>173</v>
      </c>
      <c r="D29" s="6">
        <v>14</v>
      </c>
      <c r="E29" s="6">
        <v>10</v>
      </c>
    </row>
    <row r="30" spans="1:5" x14ac:dyDescent="0.3">
      <c r="A30">
        <v>29</v>
      </c>
      <c r="B30" s="6">
        <v>7</v>
      </c>
      <c r="C30" s="9" t="s">
        <v>137</v>
      </c>
      <c r="D30" s="6">
        <v>4</v>
      </c>
      <c r="E30" s="6">
        <v>29</v>
      </c>
    </row>
    <row r="31" spans="1:5" x14ac:dyDescent="0.3">
      <c r="A31">
        <v>30</v>
      </c>
      <c r="B31" s="6">
        <v>2</v>
      </c>
      <c r="C31" s="9" t="s">
        <v>149</v>
      </c>
      <c r="D31" s="6">
        <v>24</v>
      </c>
      <c r="E31" s="6">
        <v>7</v>
      </c>
    </row>
    <row r="32" spans="1:5" x14ac:dyDescent="0.3">
      <c r="A32">
        <v>31</v>
      </c>
      <c r="B32" s="6">
        <v>8</v>
      </c>
      <c r="C32" s="9" t="s">
        <v>149</v>
      </c>
      <c r="D32" s="6">
        <v>28</v>
      </c>
      <c r="E32" s="6">
        <v>14</v>
      </c>
    </row>
    <row r="33" spans="1:5" x14ac:dyDescent="0.3">
      <c r="A33">
        <v>32</v>
      </c>
      <c r="B33" s="6">
        <v>4</v>
      </c>
      <c r="C33" s="8">
        <v>44761</v>
      </c>
      <c r="D33" s="6">
        <v>22</v>
      </c>
      <c r="E33" s="6">
        <v>38</v>
      </c>
    </row>
    <row r="34" spans="1:5" x14ac:dyDescent="0.3">
      <c r="A34">
        <v>33</v>
      </c>
      <c r="B34" s="6">
        <v>5</v>
      </c>
      <c r="C34" s="9" t="s">
        <v>157</v>
      </c>
      <c r="D34" s="6">
        <v>10</v>
      </c>
      <c r="E34" s="6">
        <v>5</v>
      </c>
    </row>
    <row r="35" spans="1:5" x14ac:dyDescent="0.3">
      <c r="A35">
        <v>34</v>
      </c>
      <c r="B35" s="6">
        <v>7</v>
      </c>
      <c r="C35" s="9" t="s">
        <v>150</v>
      </c>
      <c r="D35" s="6">
        <v>23</v>
      </c>
      <c r="E35" s="6">
        <v>15</v>
      </c>
    </row>
    <row r="36" spans="1:5" x14ac:dyDescent="0.3">
      <c r="A36">
        <v>35</v>
      </c>
      <c r="B36" s="6">
        <v>10</v>
      </c>
      <c r="C36" s="9" t="s">
        <v>143</v>
      </c>
      <c r="D36" s="6">
        <v>17</v>
      </c>
      <c r="E36" s="6">
        <v>4</v>
      </c>
    </row>
    <row r="37" spans="1:5" x14ac:dyDescent="0.3">
      <c r="A37">
        <v>36</v>
      </c>
      <c r="B37" s="6">
        <v>9</v>
      </c>
      <c r="C37" s="9" t="s">
        <v>153</v>
      </c>
      <c r="D37" s="6">
        <v>4</v>
      </c>
      <c r="E37" s="6">
        <v>28</v>
      </c>
    </row>
    <row r="38" spans="1:5" x14ac:dyDescent="0.3">
      <c r="A38">
        <v>37</v>
      </c>
      <c r="B38" s="6">
        <v>8</v>
      </c>
      <c r="C38" s="9" t="s">
        <v>130</v>
      </c>
      <c r="D38" s="6">
        <v>18</v>
      </c>
      <c r="E38" s="6">
        <v>27</v>
      </c>
    </row>
    <row r="39" spans="1:5" x14ac:dyDescent="0.3">
      <c r="A39">
        <v>38</v>
      </c>
      <c r="B39" s="6">
        <v>3</v>
      </c>
      <c r="C39" s="8">
        <v>44773</v>
      </c>
      <c r="D39" s="6">
        <v>11</v>
      </c>
      <c r="E39" s="6">
        <v>42</v>
      </c>
    </row>
    <row r="40" spans="1:5" x14ac:dyDescent="0.3">
      <c r="A40">
        <v>39</v>
      </c>
      <c r="B40" s="6">
        <v>3</v>
      </c>
      <c r="C40" s="9" t="s">
        <v>140</v>
      </c>
      <c r="D40" s="6">
        <v>24</v>
      </c>
      <c r="E40" s="6">
        <v>5</v>
      </c>
    </row>
    <row r="41" spans="1:5" x14ac:dyDescent="0.3">
      <c r="A41">
        <v>40</v>
      </c>
      <c r="B41" s="6">
        <v>6</v>
      </c>
      <c r="C41" s="9" t="s">
        <v>136</v>
      </c>
      <c r="D41" s="6">
        <v>26</v>
      </c>
      <c r="E41" s="6">
        <v>11</v>
      </c>
    </row>
    <row r="42" spans="1:5" x14ac:dyDescent="0.3">
      <c r="A42">
        <v>41</v>
      </c>
      <c r="B42" s="6">
        <v>9</v>
      </c>
      <c r="C42" s="8">
        <v>44789</v>
      </c>
      <c r="D42" s="6">
        <v>7</v>
      </c>
      <c r="E42" s="6">
        <v>19</v>
      </c>
    </row>
    <row r="43" spans="1:5" x14ac:dyDescent="0.3">
      <c r="A43">
        <v>42</v>
      </c>
      <c r="B43" s="6">
        <v>7</v>
      </c>
      <c r="C43" s="8">
        <v>44789</v>
      </c>
      <c r="D43" s="6">
        <v>29</v>
      </c>
      <c r="E43" s="6">
        <v>40</v>
      </c>
    </row>
    <row r="44" spans="1:5" x14ac:dyDescent="0.3">
      <c r="A44">
        <v>43</v>
      </c>
      <c r="B44" s="6">
        <v>8</v>
      </c>
      <c r="C44" s="9" t="s">
        <v>139</v>
      </c>
      <c r="D44" s="6">
        <v>17</v>
      </c>
      <c r="E44" s="6">
        <v>28</v>
      </c>
    </row>
    <row r="45" spans="1:5" x14ac:dyDescent="0.3">
      <c r="A45">
        <v>44</v>
      </c>
      <c r="B45" s="6">
        <v>7</v>
      </c>
      <c r="C45" s="9" t="s">
        <v>145</v>
      </c>
      <c r="D45" s="6">
        <v>18</v>
      </c>
      <c r="E45" s="6">
        <v>18</v>
      </c>
    </row>
    <row r="46" spans="1:5" x14ac:dyDescent="0.3">
      <c r="A46">
        <v>45</v>
      </c>
      <c r="B46" s="6">
        <v>2</v>
      </c>
      <c r="C46" s="9" t="s">
        <v>155</v>
      </c>
      <c r="D46" s="6">
        <v>16</v>
      </c>
      <c r="E46" s="6">
        <v>28</v>
      </c>
    </row>
    <row r="47" spans="1:5" x14ac:dyDescent="0.3">
      <c r="A47">
        <v>46</v>
      </c>
      <c r="B47" s="6">
        <v>8</v>
      </c>
      <c r="C47" s="9" t="s">
        <v>155</v>
      </c>
      <c r="D47" s="6">
        <v>21</v>
      </c>
      <c r="E47" s="6">
        <v>26</v>
      </c>
    </row>
    <row r="48" spans="1:5" x14ac:dyDescent="0.3">
      <c r="A48">
        <v>47</v>
      </c>
      <c r="B48" s="6">
        <v>8</v>
      </c>
      <c r="C48" s="9" t="s">
        <v>132</v>
      </c>
      <c r="D48" s="6">
        <v>2</v>
      </c>
      <c r="E48" s="6">
        <v>13</v>
      </c>
    </row>
    <row r="49" spans="1:5" x14ac:dyDescent="0.3">
      <c r="A49">
        <v>48</v>
      </c>
      <c r="B49" s="6">
        <v>6</v>
      </c>
      <c r="C49" s="9" t="s">
        <v>144</v>
      </c>
      <c r="D49" s="6">
        <v>17</v>
      </c>
      <c r="E49" s="6">
        <v>33</v>
      </c>
    </row>
    <row r="50" spans="1:5" x14ac:dyDescent="0.3">
      <c r="A50">
        <v>49</v>
      </c>
      <c r="B50" s="6">
        <v>8</v>
      </c>
      <c r="C50" s="9" t="s">
        <v>170</v>
      </c>
      <c r="D50" s="6">
        <v>5</v>
      </c>
      <c r="E50" s="6">
        <v>42</v>
      </c>
    </row>
    <row r="51" spans="1:5" x14ac:dyDescent="0.3">
      <c r="A51">
        <v>50</v>
      </c>
      <c r="B51" s="6">
        <v>9</v>
      </c>
      <c r="C51" s="9" t="s">
        <v>166</v>
      </c>
      <c r="D51" s="6">
        <v>16</v>
      </c>
      <c r="E51" s="6">
        <v>30</v>
      </c>
    </row>
    <row r="52" spans="1:5" x14ac:dyDescent="0.3">
      <c r="A52">
        <v>51</v>
      </c>
      <c r="B52" s="6">
        <v>6</v>
      </c>
      <c r="C52" s="9" t="s">
        <v>126</v>
      </c>
      <c r="D52" s="6">
        <v>11</v>
      </c>
      <c r="E52" s="6">
        <v>12</v>
      </c>
    </row>
    <row r="53" spans="1:5" x14ac:dyDescent="0.3">
      <c r="A53">
        <v>52</v>
      </c>
      <c r="B53" s="6">
        <v>1</v>
      </c>
      <c r="C53" s="8">
        <v>44838</v>
      </c>
      <c r="D53" s="6">
        <v>13</v>
      </c>
      <c r="E53" s="6">
        <v>23</v>
      </c>
    </row>
    <row r="54" spans="1:5" x14ac:dyDescent="0.3">
      <c r="A54">
        <v>53</v>
      </c>
      <c r="B54" s="6">
        <v>8</v>
      </c>
      <c r="C54" s="9" t="s">
        <v>141</v>
      </c>
      <c r="D54" s="6">
        <v>28</v>
      </c>
      <c r="E54" s="6">
        <v>1</v>
      </c>
    </row>
    <row r="55" spans="1:5" x14ac:dyDescent="0.3">
      <c r="A55">
        <v>54</v>
      </c>
      <c r="B55" s="6">
        <v>10</v>
      </c>
      <c r="C55" s="9" t="s">
        <v>168</v>
      </c>
      <c r="D55" s="6">
        <v>8</v>
      </c>
      <c r="E55" s="6">
        <v>28</v>
      </c>
    </row>
    <row r="56" spans="1:5" x14ac:dyDescent="0.3">
      <c r="A56">
        <v>55</v>
      </c>
      <c r="B56" s="6">
        <v>1</v>
      </c>
      <c r="C56" s="9" t="s">
        <v>164</v>
      </c>
      <c r="D56" s="6">
        <v>24</v>
      </c>
      <c r="E56" s="6">
        <v>19</v>
      </c>
    </row>
    <row r="57" spans="1:5" x14ac:dyDescent="0.3">
      <c r="A57">
        <v>56</v>
      </c>
      <c r="B57" s="6">
        <v>9</v>
      </c>
      <c r="C57" s="9" t="s">
        <v>151</v>
      </c>
      <c r="D57" s="6">
        <v>6</v>
      </c>
      <c r="E57" s="6">
        <v>14</v>
      </c>
    </row>
    <row r="58" spans="1:5" x14ac:dyDescent="0.3">
      <c r="A58">
        <v>57</v>
      </c>
      <c r="B58" s="6">
        <v>1</v>
      </c>
      <c r="C58" s="9" t="s">
        <v>151</v>
      </c>
      <c r="D58" s="6">
        <v>27</v>
      </c>
      <c r="E58" s="6">
        <v>38</v>
      </c>
    </row>
    <row r="59" spans="1:5" x14ac:dyDescent="0.3">
      <c r="A59">
        <v>58</v>
      </c>
      <c r="B59" s="6">
        <v>6</v>
      </c>
      <c r="C59" s="8">
        <v>44859</v>
      </c>
      <c r="D59" s="6">
        <v>12</v>
      </c>
      <c r="E59" s="6">
        <v>6</v>
      </c>
    </row>
    <row r="60" spans="1:5" x14ac:dyDescent="0.3">
      <c r="A60">
        <v>59</v>
      </c>
      <c r="B60" s="6">
        <v>10</v>
      </c>
      <c r="C60" s="8">
        <v>44860</v>
      </c>
      <c r="D60" s="6">
        <v>8</v>
      </c>
      <c r="E60" s="6">
        <v>34</v>
      </c>
    </row>
    <row r="61" spans="1:5" x14ac:dyDescent="0.3">
      <c r="A61">
        <v>60</v>
      </c>
      <c r="B61" s="6">
        <v>4</v>
      </c>
      <c r="C61" s="9" t="s">
        <v>176</v>
      </c>
      <c r="D61" s="6">
        <v>9</v>
      </c>
      <c r="E61" s="6">
        <v>39</v>
      </c>
    </row>
    <row r="62" spans="1:5" x14ac:dyDescent="0.3">
      <c r="A62">
        <v>61</v>
      </c>
      <c r="B62" s="6">
        <v>5</v>
      </c>
      <c r="C62" s="9" t="s">
        <v>169</v>
      </c>
      <c r="D62" s="6">
        <v>30</v>
      </c>
      <c r="E62" s="6">
        <v>31</v>
      </c>
    </row>
    <row r="63" spans="1:5" x14ac:dyDescent="0.3">
      <c r="A63">
        <v>62</v>
      </c>
      <c r="B63" s="6">
        <v>5</v>
      </c>
      <c r="C63" s="9" t="s">
        <v>138</v>
      </c>
      <c r="D63" s="6">
        <v>16</v>
      </c>
      <c r="E63" s="6">
        <v>41</v>
      </c>
    </row>
    <row r="64" spans="1:5" x14ac:dyDescent="0.3">
      <c r="A64">
        <v>63</v>
      </c>
      <c r="B64" s="6">
        <v>1</v>
      </c>
      <c r="C64" s="8">
        <v>44868</v>
      </c>
      <c r="D64" s="6">
        <v>19</v>
      </c>
      <c r="E64" s="6">
        <v>17</v>
      </c>
    </row>
    <row r="65" spans="1:5" x14ac:dyDescent="0.3">
      <c r="A65">
        <v>64</v>
      </c>
      <c r="B65" s="6">
        <v>9</v>
      </c>
      <c r="C65" s="9" t="s">
        <v>161</v>
      </c>
      <c r="D65" s="6">
        <v>28</v>
      </c>
      <c r="E65" s="6">
        <v>2</v>
      </c>
    </row>
    <row r="66" spans="1:5" x14ac:dyDescent="0.3">
      <c r="A66">
        <v>65</v>
      </c>
      <c r="B66" s="6">
        <v>1</v>
      </c>
      <c r="C66" s="8">
        <v>44874</v>
      </c>
      <c r="D66" s="6">
        <v>4</v>
      </c>
      <c r="E66" s="6">
        <v>14</v>
      </c>
    </row>
    <row r="67" spans="1:5" x14ac:dyDescent="0.3">
      <c r="A67">
        <v>66</v>
      </c>
      <c r="B67" s="6">
        <v>4</v>
      </c>
      <c r="C67" s="9" t="s">
        <v>159</v>
      </c>
      <c r="D67" s="6">
        <v>18</v>
      </c>
      <c r="E67" s="6">
        <v>6</v>
      </c>
    </row>
    <row r="68" spans="1:5" x14ac:dyDescent="0.3">
      <c r="A68">
        <v>67</v>
      </c>
      <c r="B68" s="6">
        <v>2</v>
      </c>
      <c r="C68" s="8">
        <v>44889</v>
      </c>
      <c r="D68" s="6">
        <v>24</v>
      </c>
      <c r="E68" s="6">
        <v>16</v>
      </c>
    </row>
    <row r="69" spans="1:5" x14ac:dyDescent="0.3">
      <c r="A69">
        <v>68</v>
      </c>
      <c r="B69" s="6">
        <v>9</v>
      </c>
      <c r="C69" s="9" t="s">
        <v>167</v>
      </c>
      <c r="D69" s="6">
        <v>21</v>
      </c>
      <c r="E69" s="6">
        <v>13</v>
      </c>
    </row>
    <row r="70" spans="1:5" x14ac:dyDescent="0.3">
      <c r="A70">
        <v>69</v>
      </c>
      <c r="B70" s="6">
        <v>4</v>
      </c>
      <c r="C70" s="9" t="s">
        <v>128</v>
      </c>
      <c r="D70" s="6">
        <v>8</v>
      </c>
      <c r="E70" s="6">
        <v>26</v>
      </c>
    </row>
    <row r="71" spans="1:5" x14ac:dyDescent="0.3">
      <c r="A71">
        <v>70</v>
      </c>
      <c r="B71" s="6">
        <v>4</v>
      </c>
      <c r="C71" s="9" t="s">
        <v>178</v>
      </c>
      <c r="D71" s="6">
        <v>24</v>
      </c>
      <c r="E71" s="6">
        <v>8</v>
      </c>
    </row>
    <row r="72" spans="1:5" x14ac:dyDescent="0.3">
      <c r="A72">
        <v>71</v>
      </c>
      <c r="B72" s="6">
        <v>9</v>
      </c>
      <c r="C72" s="8">
        <v>44913</v>
      </c>
      <c r="D72" s="6">
        <v>25</v>
      </c>
      <c r="E72" s="6">
        <v>30</v>
      </c>
    </row>
    <row r="73" spans="1:5" x14ac:dyDescent="0.3">
      <c r="A73">
        <v>72</v>
      </c>
      <c r="B73" s="6">
        <v>4</v>
      </c>
      <c r="C73" s="9" t="s">
        <v>148</v>
      </c>
      <c r="D73" s="6">
        <v>7</v>
      </c>
      <c r="E73" s="6">
        <v>25</v>
      </c>
    </row>
    <row r="74" spans="1:5" x14ac:dyDescent="0.3">
      <c r="A74">
        <v>73</v>
      </c>
      <c r="B74" s="6">
        <v>6</v>
      </c>
      <c r="C74" s="9" t="s">
        <v>133</v>
      </c>
      <c r="D74" s="6">
        <v>3</v>
      </c>
      <c r="E74" s="6">
        <v>29</v>
      </c>
    </row>
    <row r="75" spans="1:5" x14ac:dyDescent="0.3">
      <c r="A75">
        <v>74</v>
      </c>
      <c r="B75" s="6">
        <v>10</v>
      </c>
      <c r="C75" s="9" t="s">
        <v>180</v>
      </c>
      <c r="D75" s="6">
        <v>22</v>
      </c>
      <c r="E75" s="6">
        <v>2</v>
      </c>
    </row>
    <row r="76" spans="1:5" x14ac:dyDescent="0.3">
      <c r="A76">
        <v>75</v>
      </c>
      <c r="B76" s="6">
        <v>2</v>
      </c>
      <c r="C76" s="9" t="s">
        <v>174</v>
      </c>
      <c r="D76" s="6">
        <v>8</v>
      </c>
      <c r="E76" s="6">
        <v>10</v>
      </c>
    </row>
    <row r="77" spans="1:5" x14ac:dyDescent="0.3">
      <c r="A77">
        <v>76</v>
      </c>
      <c r="B77" s="6">
        <v>2</v>
      </c>
      <c r="C77" s="9" t="s">
        <v>179</v>
      </c>
      <c r="D77" s="6">
        <v>1</v>
      </c>
      <c r="E77" s="6">
        <v>16</v>
      </c>
    </row>
    <row r="78" spans="1:5" x14ac:dyDescent="0.3">
      <c r="A78">
        <v>77</v>
      </c>
      <c r="B78" s="6">
        <v>8</v>
      </c>
      <c r="C78" s="9" t="s">
        <v>171</v>
      </c>
      <c r="D78" s="6">
        <v>20</v>
      </c>
      <c r="E78" s="6">
        <v>22</v>
      </c>
    </row>
    <row r="79" spans="1:5" x14ac:dyDescent="0.3">
      <c r="A79">
        <v>78</v>
      </c>
      <c r="B79" s="6">
        <v>4</v>
      </c>
      <c r="C79" s="9" t="s">
        <v>147</v>
      </c>
      <c r="D79" s="6">
        <v>19</v>
      </c>
      <c r="E79" s="6">
        <v>8</v>
      </c>
    </row>
    <row r="80" spans="1:5" x14ac:dyDescent="0.3">
      <c r="A80">
        <v>79</v>
      </c>
      <c r="B80" s="6">
        <v>7</v>
      </c>
      <c r="C80" s="9" t="s">
        <v>129</v>
      </c>
      <c r="D80" s="6">
        <v>8</v>
      </c>
      <c r="E80" s="6">
        <v>17</v>
      </c>
    </row>
    <row r="81" spans="1:5" x14ac:dyDescent="0.3">
      <c r="A81">
        <v>80</v>
      </c>
      <c r="B81" s="6">
        <v>7</v>
      </c>
      <c r="C81" s="9" t="s">
        <v>127</v>
      </c>
      <c r="D81" s="6">
        <v>16</v>
      </c>
      <c r="E81" s="6">
        <v>9</v>
      </c>
    </row>
    <row r="82" spans="1:5" x14ac:dyDescent="0.3">
      <c r="A82">
        <v>81</v>
      </c>
      <c r="B82" s="6">
        <v>1</v>
      </c>
      <c r="C82" s="8">
        <v>44964</v>
      </c>
      <c r="D82" s="6">
        <v>11</v>
      </c>
      <c r="E82" s="6">
        <v>40</v>
      </c>
    </row>
    <row r="83" spans="1:5" x14ac:dyDescent="0.3">
      <c r="A83">
        <v>82</v>
      </c>
      <c r="B83" s="6">
        <v>9</v>
      </c>
      <c r="C83" s="9" t="s">
        <v>134</v>
      </c>
      <c r="D83" s="6">
        <v>8</v>
      </c>
      <c r="E83" s="6">
        <v>6</v>
      </c>
    </row>
    <row r="84" spans="1:5" x14ac:dyDescent="0.3">
      <c r="A84">
        <v>83</v>
      </c>
      <c r="B84" s="6">
        <v>3</v>
      </c>
      <c r="C84" s="9" t="s">
        <v>142</v>
      </c>
      <c r="D84" s="6">
        <v>22</v>
      </c>
      <c r="E84" s="6">
        <v>37</v>
      </c>
    </row>
    <row r="85" spans="1:5" x14ac:dyDescent="0.3">
      <c r="A85">
        <v>84</v>
      </c>
      <c r="B85" s="6">
        <v>3</v>
      </c>
      <c r="C85" s="9" t="s">
        <v>156</v>
      </c>
      <c r="D85" s="6">
        <v>27</v>
      </c>
      <c r="E85" s="6">
        <v>4</v>
      </c>
    </row>
    <row r="86" spans="1:5" x14ac:dyDescent="0.3">
      <c r="A86">
        <v>85</v>
      </c>
      <c r="B86" s="6">
        <v>9</v>
      </c>
      <c r="C86" s="9" t="s">
        <v>163</v>
      </c>
      <c r="D86" s="6">
        <v>27</v>
      </c>
      <c r="E86" s="6">
        <v>10</v>
      </c>
    </row>
    <row r="87" spans="1:5" x14ac:dyDescent="0.3">
      <c r="A87">
        <v>86</v>
      </c>
      <c r="B87" s="6">
        <v>9</v>
      </c>
      <c r="C87" s="9" t="s">
        <v>172</v>
      </c>
      <c r="D87" s="6">
        <v>6</v>
      </c>
      <c r="E87" s="6">
        <v>30</v>
      </c>
    </row>
    <row r="88" spans="1:5" x14ac:dyDescent="0.3">
      <c r="A88">
        <v>87</v>
      </c>
      <c r="B88" s="6">
        <v>8</v>
      </c>
      <c r="C88" s="9" t="s">
        <v>158</v>
      </c>
      <c r="D88" s="6">
        <v>5</v>
      </c>
      <c r="E88" s="6">
        <v>42</v>
      </c>
    </row>
    <row r="89" spans="1:5" x14ac:dyDescent="0.3">
      <c r="A89">
        <v>88</v>
      </c>
      <c r="B89" s="6">
        <v>9</v>
      </c>
      <c r="C89" s="9" t="s">
        <v>154</v>
      </c>
      <c r="D89" s="6">
        <v>22</v>
      </c>
      <c r="E89" s="6">
        <v>29</v>
      </c>
    </row>
    <row r="90" spans="1:5" x14ac:dyDescent="0.3">
      <c r="A90">
        <v>89</v>
      </c>
      <c r="B90" s="6">
        <v>10</v>
      </c>
      <c r="C90" s="9" t="s">
        <v>146</v>
      </c>
      <c r="D90" s="6">
        <v>7</v>
      </c>
      <c r="E90" s="6">
        <v>21</v>
      </c>
    </row>
    <row r="91" spans="1:5" x14ac:dyDescent="0.3">
      <c r="A91">
        <v>90</v>
      </c>
      <c r="B91" s="6">
        <v>3</v>
      </c>
      <c r="C91" s="9" t="s">
        <v>131</v>
      </c>
      <c r="D91" s="6">
        <v>15</v>
      </c>
      <c r="E91" s="6">
        <v>3</v>
      </c>
    </row>
    <row r="92" spans="1:5" x14ac:dyDescent="0.3">
      <c r="A92">
        <v>91</v>
      </c>
      <c r="B92" s="6">
        <v>10</v>
      </c>
      <c r="C92" s="9" t="s">
        <v>135</v>
      </c>
      <c r="D92" s="6">
        <v>15</v>
      </c>
      <c r="E92" s="6">
        <v>3</v>
      </c>
    </row>
    <row r="93" spans="1:5" x14ac:dyDescent="0.3">
      <c r="A93">
        <v>92</v>
      </c>
      <c r="B93" s="6">
        <v>9</v>
      </c>
      <c r="C93" s="9" t="s">
        <v>165</v>
      </c>
      <c r="D93" s="6">
        <v>3</v>
      </c>
      <c r="E93" s="6">
        <v>22</v>
      </c>
    </row>
    <row r="94" spans="1:5" x14ac:dyDescent="0.3">
      <c r="A94">
        <v>93</v>
      </c>
      <c r="B94" s="6">
        <v>1</v>
      </c>
      <c r="C94" s="9" t="s">
        <v>162</v>
      </c>
      <c r="D94" s="6">
        <v>28</v>
      </c>
      <c r="E94" s="6">
        <v>7</v>
      </c>
    </row>
    <row r="95" spans="1:5" x14ac:dyDescent="0.3">
      <c r="A95">
        <v>94</v>
      </c>
      <c r="B95" s="6">
        <v>3</v>
      </c>
      <c r="C95" s="8">
        <v>45055</v>
      </c>
      <c r="D95" s="6">
        <v>23</v>
      </c>
      <c r="E95" s="6">
        <v>34</v>
      </c>
    </row>
    <row r="96" spans="1:5" x14ac:dyDescent="0.3">
      <c r="A96">
        <v>95</v>
      </c>
      <c r="B96" s="6">
        <v>1</v>
      </c>
      <c r="C96" s="9" t="s">
        <v>177</v>
      </c>
      <c r="D96" s="6">
        <v>3</v>
      </c>
      <c r="E96" s="6">
        <v>42</v>
      </c>
    </row>
    <row r="97" spans="1:5" x14ac:dyDescent="0.3">
      <c r="A97">
        <v>96</v>
      </c>
      <c r="B97" s="6">
        <v>5</v>
      </c>
      <c r="C97" s="9" t="s">
        <v>175</v>
      </c>
      <c r="D97" s="6">
        <v>9</v>
      </c>
      <c r="E97" s="6">
        <v>37</v>
      </c>
    </row>
    <row r="98" spans="1:5" x14ac:dyDescent="0.3">
      <c r="A98">
        <v>97</v>
      </c>
      <c r="B98" s="6">
        <v>4</v>
      </c>
      <c r="C98" s="8">
        <v>45059</v>
      </c>
      <c r="D98" s="6">
        <v>27</v>
      </c>
      <c r="E98" s="6">
        <v>20</v>
      </c>
    </row>
    <row r="99" spans="1:5" x14ac:dyDescent="0.3">
      <c r="A99">
        <v>98</v>
      </c>
      <c r="B99" s="6">
        <v>9</v>
      </c>
      <c r="C99" s="9" t="s">
        <v>152</v>
      </c>
      <c r="D99" s="6">
        <v>8</v>
      </c>
      <c r="E99" s="6">
        <v>20</v>
      </c>
    </row>
    <row r="100" spans="1:5" x14ac:dyDescent="0.3">
      <c r="A100">
        <v>99</v>
      </c>
      <c r="B100" s="6">
        <v>6</v>
      </c>
      <c r="C100" s="9" t="s">
        <v>160</v>
      </c>
      <c r="D100" s="6">
        <v>28</v>
      </c>
      <c r="E100" s="6">
        <v>3</v>
      </c>
    </row>
    <row r="101" spans="1:5" x14ac:dyDescent="0.3">
      <c r="A101">
        <v>100</v>
      </c>
      <c r="B101" s="6">
        <v>1</v>
      </c>
      <c r="C101" s="8">
        <v>45081</v>
      </c>
      <c r="D101" s="6">
        <v>1</v>
      </c>
      <c r="E101" s="6">
        <v>23</v>
      </c>
    </row>
  </sheetData>
  <sortState xmlns:xlrd2="http://schemas.microsoft.com/office/spreadsheetml/2017/richdata2" ref="B2:E101">
    <sortCondition ref="C2:C101"/>
  </sortState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CA2FAE-01D4-4584-9953-AC3FF09732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Ausgangstabelle</vt:lpstr>
      <vt:lpstr>Produkte</vt:lpstr>
      <vt:lpstr>Kunden</vt:lpstr>
      <vt:lpstr>Verkäufe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 Wolff</dc:creator>
  <cp:lastModifiedBy>User</cp:lastModifiedBy>
  <dcterms:created xsi:type="dcterms:W3CDTF">2023-06-08T09:52:06Z</dcterms:created>
  <dcterms:modified xsi:type="dcterms:W3CDTF">2023-06-12T12:53:21Z</dcterms:modified>
</cp:coreProperties>
</file>